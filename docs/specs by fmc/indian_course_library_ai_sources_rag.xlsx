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92590a509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ment Sources" sheetId="1" r:id="Rdb37d890b9674e29"/>
    <x:sheet xmlns:r="http://schemas.openxmlformats.org/officeDocument/2006/relationships" name="Source Directory" sheetId="2" r:id="R054b7630c2e5431a"/>
    <x:sheet xmlns:r="http://schemas.openxmlformats.org/officeDocument/2006/relationships" name="Data Fields" sheetId="3" r:id="R5b819eaecec840bd"/>
    <x:sheet xmlns:r="http://schemas.openxmlformats.org/officeDocument/2006/relationships" name="Regulator Map" sheetId="4" r:id="Ra72f7c10dec848bb"/>
    <x:sheet xmlns:r="http://schemas.openxmlformats.org/officeDocument/2006/relationships" name="RAG Architecture" sheetId="5" r:id="R3549eba674e745de"/>
    <x:sheet xmlns:r="http://schemas.openxmlformats.org/officeDocument/2006/relationships" name="Workflow &amp; Review" sheetId="6" r:id="R43e2413eeb154cc0"/>
    <x:sheet xmlns:r="http://schemas.openxmlformats.org/officeDocument/2006/relationships" name="Overview" sheetId="7" r:id="Recb7ed1d411d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0"/>
      <x:color rgb="FFFFFFFF"/>
      <x:name val="Carlito"/>
    </x:font>
    <x:font>
      <x:sz val="9"/>
      <x:color rgb="FF17202A"/>
      <x:name val="Carlito"/>
    </x:font>
    <x:font>
      <x:b/>
      <x:sz val="18"/>
      <x:color rgb="FFFFFFFF"/>
      <x:name val="Carlito"/>
    </x:font>
    <x:font>
      <x:sz val="10"/>
      <x:color rgb="FFDCEBF1"/>
      <x:name val="Carlito"/>
    </x:font>
    <x:font>
      <x:b/>
      <x:sz val="12"/>
      <x:color rgb="FFFFFFFF"/>
      <x:name val="Carlito"/>
    </x:font>
    <x:font>
      <x:b/>
      <x:sz val="9"/>
      <x:color rgb="FF123F5A"/>
      <x:name val="Carlito"/>
    </x:font>
    <x:font>
      <x:b/>
      <x:sz val="18"/>
      <x:color rgb="FF123F5A"/>
      <x:name val="Carlito"/>
    </x:font>
    <x:font>
      <x:b/>
      <x:sz val="10"/>
      <x:color rgb="FF35280D"/>
      <x:name val="Carlito"/>
    </x:font>
    <x:font>
      <x:sz val="9"/>
      <x:color rgb="FF66512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C6687"/>
      </x:patternFill>
    </x:fill>
    <x:fill>
      <x:patternFill patternType="solid">
        <x:fgColor rgb="FF0B2E43"/>
      </x:patternFill>
    </x:fill>
    <x:fill>
      <x:patternFill patternType="solid">
        <x:fgColor rgb="FF123F5A"/>
      </x:patternFill>
    </x:fill>
    <x:fill>
      <x:patternFill patternType="solid">
        <x:fgColor rgb="FFEDF6FB"/>
      </x:patternFill>
    </x:fill>
    <x:fill>
      <x:patternFill patternType="solid">
        <x:fgColor rgb="FFFFFFFF"/>
      </x:patternFill>
    </x:fill>
    <x:fill>
      <x:patternFill patternType="solid">
        <x:fgColor rgb="FFEBC166"/>
      </x:patternFill>
    </x:fill>
    <x:fill>
      <x:patternFill patternType="solid">
        <x:fgColor rgb="FFFFF3D3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27725A"/>
      </x:font>
      <x:fill>
        <x:patternFill patternType="solid">
          <x:bgColor rgb="FFEAF6F1"/>
        </x:patternFill>
      </x:fill>
    </x:dxf>
    <x:dxf>
      <x:font>
        <x:b/>
        <x:color rgb="FF27725A"/>
      </x:font>
      <x:fill>
        <x:patternFill patternType="solid">
          <x:bgColor rgb="FFEAF6F1"/>
        </x:patternFill>
      </x:fill>
    </x:dxf>
    <x:dxf>
      <x:font>
        <x:b/>
        <x:color rgb="FF72581C"/>
      </x:font>
      <x:fill>
        <x:patternFill patternType="solid">
          <x:bgColor rgb="FFFFF3D3"/>
        </x:patternFill>
      </x:fill>
    </x:dxf>
    <x:dxf>
      <x:font>
        <x:b/>
        <x:color rgb="FF8A3B33"/>
      </x:font>
      <x:fill>
        <x:patternFill patternType="solid">
          <x:bgColor rgb="FFFFF0EF"/>
        </x:patternFill>
      </x:fill>
    </x:dxf>
    <x:dxf>
      <x:font>
        <x:b/>
        <x:color rgb="FF8A3B33"/>
      </x:font>
      <x:fill>
        <x:patternFill patternType="solid">
          <x:bgColor rgb="FFFFF0EF"/>
        </x:patternFill>
      </x:fill>
    </x:dxf>
    <x:dxf>
      <x:font>
        <x:color rgb="FF72581C"/>
      </x:font>
      <x:fill>
        <x:patternFill patternType="solid">
          <x:bgColor rgb="FFFFF3D3"/>
        </x:patternFill>
      </x:fill>
    </x:dxf>
    <x:dxf>
      <x:font>
        <x:color rgb="FF27725A"/>
      </x:font>
      <x:fill>
        <x:patternFill patternType="solid">
          <x:bgColor rgb="FFEAF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5c7e326ef431d" /><Relationship Type="http://schemas.openxmlformats.org/officeDocument/2006/relationships/theme" Target="/xl/theme/theme1.xml" Id="R1ff46f9e4ede4f3a" /><Relationship Type="http://schemas.openxmlformats.org/officeDocument/2006/relationships/sharedStrings" Target="/xl/sharedStrings.xml" Id="R98cfdbbf237b40e9" /><Relationship Type="http://schemas.openxmlformats.org/officeDocument/2006/relationships/worksheet" Target="/xl/worksheets/sheet1.xml" Id="Rdb37d890b9674e29" /><Relationship Type="http://schemas.openxmlformats.org/officeDocument/2006/relationships/worksheet" Target="/xl/worksheets/sheet2.xml" Id="R054b7630c2e5431a" /><Relationship Type="http://schemas.openxmlformats.org/officeDocument/2006/relationships/worksheet" Target="/xl/worksheets/sheet3.xml" Id="R5b819eaecec840bd" /><Relationship Type="http://schemas.openxmlformats.org/officeDocument/2006/relationships/worksheet" Target="/xl/worksheets/sheet4.xml" Id="Ra72f7c10dec848bb" /><Relationship Type="http://schemas.openxmlformats.org/officeDocument/2006/relationships/worksheet" Target="/xl/worksheets/sheet5.xml" Id="R3549eba674e745de" /><Relationship Type="http://schemas.openxmlformats.org/officeDocument/2006/relationships/worksheet" Target="/xl/worksheets/sheet6.xml" Id="R43e2413eeb154cc0" /><Relationship Type="http://schemas.openxmlformats.org/officeDocument/2006/relationships/worksheet" Target="/xl/worksheets/sheet7.xml" Id="Recb7ed1d411d44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757bd4f33046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Source Coverage by Tier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Website count</c:v>
          </c:tx>
          <c:cat>
            <c:strRef>
              <c:f>'Overview'!$F$18:$F$23</c:f>
              <c:strCache>
                <c:ptCount val="0"/>
              </c:strCache>
            </c:strRef>
          </c:cat>
          <c:val>
            <c:numRef>
              <c:f>'Overview'!$G$18:$G$23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757bd4f33046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gmentSourcesTable" displayName="SegmentSourcesTable" ref="A1:J20" headerRowCount="1">
  <x:tableColumns count="10">
    <x:tableColumn id="1" name="ID"/>
    <x:tableColumn id="2" name="Course Library Segment"/>
    <x:tableColumn id="3" name="Data to Collect"/>
    <x:tableColumn id="4" name="Primary / Preferred Sources"/>
    <x:tableColumn id="5" name="Secondary / Discovery Sources"/>
    <x:tableColumn id="6" name="Preferred Source Tier"/>
    <x:tableColumn id="7" name="Verification Rule"/>
    <x:tableColumn id="8" name="Update Frequency"/>
    <x:tableColumn id="9" name="Suggested Database Module"/>
    <x:tableColumn id="10" name="Important 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DirectoryTable" displayName="SourceDirectoryTable" ref="A1:I45" headerRowCount="1">
  <x:tableColumns count="9">
    <x:tableColumn id="1" name="Short Name"/>
    <x:tableColumn id="2" name="Source / Organisation"/>
    <x:tableColumn id="3" name="Official URL"/>
    <x:tableColumn id="4" name="Authority Type"/>
    <x:tableColumn id="5" name="Tier"/>
    <x:tableColumn id="6" name="Best Used For"/>
    <x:tableColumn id="7" name="Important Usage Rule"/>
    <x:tableColumn id="8" name="Recommended Refresh"/>
    <x:tableColumn id="9" name="Coverage"/>
  </x:tableColumns>
  <x:tableStyleInfo name="TableStyleMedium2" showRowStripes="1"/>
</x:table>
</file>

<file path=xl/tables/table3.xml><?xml version="1.0" encoding="utf-8"?>
<x:table xmlns:x="http://schemas.openxmlformats.org/spreadsheetml/2006/main" id="3" name="DataFieldsTable" displayName="DataFieldsTable" ref="A1:J159" headerRowCount="1">
  <x:tableColumns count="10">
    <x:tableColumn id="1" name="Field ID"/>
    <x:tableColumn id="2" name="Data Segment"/>
    <x:tableColumn id="3" name="Field Name"/>
    <x:tableColumn id="4" name="Description"/>
    <x:tableColumn id="5" name="Data Type"/>
    <x:tableColumn id="6" name="Required?"/>
    <x:tableColumn id="7" name="Volatility / Review Risk"/>
    <x:tableColumn id="8" name="Example"/>
    <x:tableColumn id="9" name="Primary Key / Relationship Notes"/>
    <x:tableColumn id="10" name="Validation Notes"/>
  </x:tableColumns>
  <x:tableStyleInfo name="TableStyleMedium2" showRowStripes="1"/>
</x:table>
</file>

<file path=xl/tables/table4.xml><?xml version="1.0" encoding="utf-8"?>
<x:table xmlns:x="http://schemas.openxmlformats.org/spreadsheetml/2006/main" id="4" name="RegulatorMapTable" displayName="RegulatorMapTable" ref="A1:F14" headerRowCount="1">
  <x:tableColumns count="6">
    <x:tableColumn id="1" name="Course Area"/>
    <x:tableColumn id="2" name="Primary Regulator / Authority"/>
    <x:tableColumn id="3" name="Secondary Validation"/>
    <x:tableColumn id="4" name="Key Checks"/>
    <x:tableColumn id="5" name="Official URL"/>
    <x:tableColumn id="6" name="Importa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5dc2054c3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44e458923043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4cc7c71b8346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905f59a47243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fb2f85d0b274b0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38" hidden="0" customWidth="1"/>
    <x:col min="5" max="5" width="38" hidden="0" customWidth="1"/>
    <x:col min="6" max="6" width="14" hidden="0" customWidth="1"/>
    <x:col min="7" max="7" width="38" hidden="0" customWidth="1"/>
    <x:col min="8" max="8" width="18" hidden="0" customWidth="1"/>
    <x:col min="9" max="9" width="30" hidden="0" customWidth="1"/>
    <x:col min="10" max="10" width="36" hidden="0" customWidth="1"/>
  </x:cols>
  <x:sheetData>
    <x:row r="1">
      <x:c r="A1" s="6" t="str">
        <x:v>ID</x:v>
      </x:c>
      <x:c r="B1" s="6" t="str">
        <x:v>Course Library Segment</x:v>
      </x:c>
      <x:c r="C1" s="6" t="str">
        <x:v>Data to Collect</x:v>
      </x:c>
      <x:c r="D1" s="6" t="str">
        <x:v>Primary / Preferred Sources</x:v>
      </x:c>
      <x:c r="E1" s="6" t="str">
        <x:v>Secondary / Discovery Sources</x:v>
      </x:c>
      <x:c r="F1" s="6" t="str">
        <x:v>Preferred Source Tier</x:v>
      </x:c>
      <x:c r="G1" s="6" t="str">
        <x:v>Verification Rule</x:v>
      </x:c>
      <x:c r="H1" s="6" t="str">
        <x:v>Update Frequency</x:v>
      </x:c>
      <x:c r="I1" s="6" t="str">
        <x:v>Suggested Database Module</x:v>
      </x:c>
      <x:c r="J1" s="6" t="str">
        <x:v>Important Notes</x:v>
      </x:c>
    </x:row>
    <x:row r="2">
      <x:c r="A2" s="18" t="str">
        <x:v>S01</x:v>
      </x:c>
      <x:c r="B2" s="14" t="str">
        <x:v>Course name, level &amp; nomenclature</x:v>
      </x:c>
      <x:c r="C2" s="14" t="str">
        <x:v>Standard course name; common names; abbreviation; level; qualification type; regulator; duration</x:v>
      </x:c>
      <x:c r="D2" s="14" t="str">
        <x:v>UGC degree nomenclature; AICTE model curriculum; National Qualifications Register</x:v>
      </x:c>
      <x:c r="E2" s="14" t="str">
        <x:v>Official university programme catalogues</x:v>
      </x:c>
      <x:c r="F2" s="14" t="str">
        <x:v>Tier A</x:v>
      </x:c>
      <x:c r="G2" s="14" t="str">
        <x:v>Use regulator terminology as canonical; keep aliases separately</x:v>
      </x:c>
      <x:c r="H2" s="14" t="str">
        <x:v>Annual / when regulations change</x:v>
      </x:c>
      <x:c r="I2" s="14" t="str">
        <x:v>courses; course_aliases; qualification_levels</x:v>
      </x:c>
      <x:c r="J2" s="14" t="str">
        <x:v>Do not create duplicate courses for spelling variations.</x:v>
      </x:c>
    </x:row>
    <x:row r="3">
      <x:c r="A3" s="18" t="str">
        <x:v>S02</x:v>
      </x:c>
      <x:c r="B3" s="14" t="str">
        <x:v>Course overview &amp; definition</x:v>
      </x:c>
      <x:c r="C3" s="14" t="str">
        <x:v>Student-friendly definition; purpose; theoretical/practical balance; difference from similar courses</x:v>
      </x:c>
      <x:c r="D3" s="14" t="str">
        <x:v>Relevant regulator; AICTE model curriculum; official university curriculum</x:v>
      </x:c>
      <x:c r="E3" s="14" t="str">
        <x:v>SWAYAM; NPTEL; 3–5 official university descriptions</x:v>
      </x:c>
      <x:c r="F3" s="14" t="str">
        <x:v>Tier A/B</x:v>
      </x:c>
      <x:c r="G3" s="14" t="str">
        <x:v>AI may synthesise only after source facts are verified</x:v>
      </x:c>
      <x:c r="H3" s="14" t="str">
        <x:v>Review every 2 years</x:v>
      </x:c>
      <x:c r="I3" s="14" t="str">
        <x:v>course_descriptions; course_comparisons</x:v>
      </x:c>
      <x:c r="J3" s="14" t="str">
        <x:v>Avoid copying one university’s marketing text.</x:v>
      </x:c>
    </x:row>
    <x:row r="4">
      <x:c r="A4" s="18" t="str">
        <x:v>S03</x:v>
      </x:c>
      <x:c r="B4" s="14" t="str">
        <x:v>Duration, mode &amp; credit structure</x:v>
      </x:c>
      <x:c r="C4" s="14" t="str">
        <x:v>Minimum/maximum duration; semester count; credits; full-time/part-time/online/distance; exit options</x:v>
      </x:c>
      <x:c r="D4" s="14" t="str">
        <x:v>UGC framework; AICTE; professional regulator; UGC DEB</x:v>
      </x:c>
      <x:c r="E4" s="14" t="str">
        <x:v>University regulations and prospectus</x:v>
      </x:c>
      <x:c r="F4" s="14" t="str">
        <x:v>Tier A/B</x:v>
      </x:c>
      <x:c r="G4" s="14" t="str">
        <x:v>Verify programme and admission-session recognition for online/ODL</x:v>
      </x:c>
      <x:c r="H4" s="14" t="str">
        <x:v>Annual</x:v>
      </x:c>
      <x:c r="I4" s="14" t="str">
        <x:v>course_delivery_modes; course_credit_rules</x:v>
      </x:c>
      <x:c r="J4" s="14" t="str">
        <x:v>Institution recognition alone does not validate every online programme.</x:v>
      </x:c>
    </x:row>
    <x:row r="5">
      <x:c r="A5" s="18" t="str">
        <x:v>S04</x:v>
      </x:c>
      <x:c r="B5" s="14" t="str">
        <x:v>Eligibility &amp; accepted Class 12 streams</x:v>
      </x:c>
      <x:c r="C5" s="14" t="str">
        <x:v>Minimum qualification; streams; compulsory subjects; marks; age; medical; portfolio; interview; lateral entry</x:v>
      </x:c>
      <x:c r="D5" s="14" t="str">
        <x:v>Official university prospectus; admission notification; entrance bulletin; professional council</x:v>
      </x:c>
      <x:c r="E5" s="14" t="str">
        <x:v>State counselling prospectus</x:v>
      </x:c>
      <x:c r="F5" s="14" t="str">
        <x:v>Tier B/A</x:v>
      </x:c>
      <x:c r="G5" s="14" t="str">
        <x:v>Separate general, exam, institution and quota-specific rules</x:v>
      </x:c>
      <x:c r="H5" s="14" t="str">
        <x:v>Every admission cycle</x:v>
      </x:c>
      <x:c r="I5" s="14" t="str">
        <x:v>course_eligibility_rules</x:v>
      </x:c>
      <x:c r="J5" s="14" t="str">
        <x:v>Never generalise one institution’s rule nationally.</x:v>
      </x:c>
    </x:row>
    <x:row r="6">
      <x:c r="A6" s="18" t="str">
        <x:v>S05</x:v>
      </x:c>
      <x:c r="B6" s="14" t="str">
        <x:v>Entrance examinations &amp; admission</x:v>
      </x:c>
      <x:c r="C6" s="14" t="str">
        <x:v>Exam; conducting body; eligible courses; dates; counselling body; seat route; documents</x:v>
      </x:c>
      <x:c r="D6" s="14" t="str">
        <x:v>NTA; JoSAA; CSAB; MCC; official exam bodies; CEE Kerala</x:v>
      </x:c>
      <x:c r="E6" s="14" t="str">
        <x:v>University admission portals</x:v>
      </x:c>
      <x:c r="F6" s="14" t="str">
        <x:v>Tier A</x:v>
      </x:c>
      <x:c r="G6" s="14" t="str">
        <x:v>Store each admission year as a separate record</x:v>
      </x:c>
      <x:c r="H6" s="14" t="str">
        <x:v>Continuous during admission season</x:v>
      </x:c>
      <x:c r="I6" s="14" t="str">
        <x:v>entrance_exams; admission_cycles; counselling_routes</x:v>
      </x:c>
      <x:c r="J6" s="14" t="str">
        <x:v>Do not overwrite historical exam data.</x:v>
      </x:c>
    </x:row>
    <x:row r="7">
      <x:c r="A7" s="18" t="str">
        <x:v>S06</x:v>
      </x:c>
      <x:c r="B7" s="14" t="str">
        <x:v>Subjects, syllabus &amp; curriculum</x:v>
      </x:c>
      <x:c r="C7" s="14" t="str">
        <x:v>Foundation/core/elective subjects; labs; practicals; internship; fieldwork; project; dissertation</x:v>
      </x:c>
      <x:c r="D7" s="14" t="str">
        <x:v>Professional regulator; AICTE model curriculum; official university syllabus</x:v>
      </x:c>
      <x:c r="E7" s="14" t="str">
        <x:v>Board of Studies regulations; programme handbook</x:v>
      </x:c>
      <x:c r="F7" s="14" t="str">
        <x:v>Tier A/B</x:v>
      </x:c>
      <x:c r="G7" s="14" t="str">
        <x:v>Build a typical curriculum from multiple institutions; preserve exact institution syllabus separately</x:v>
      </x:c>
      <x:c r="H7" s="14" t="str">
        <x:v>When curriculum changes</x:v>
      </x:c>
      <x:c r="I7" s="14" t="str">
        <x:v>curricula; curriculum_subjects; institution_curricula</x:v>
      </x:c>
      <x:c r="J7" s="14" t="str">
        <x:v>Display ‘typical subjects’ unless it is institution-specific.</x:v>
      </x:c>
    </x:row>
    <x:row r="8">
      <x:c r="A8" s="18" t="str">
        <x:v>S07</x:v>
      </x:c>
      <x:c r="B8" s="14" t="str">
        <x:v>Specialisations &amp; course variations</x:v>
      </x:c>
      <x:c r="C8" s="14" t="str">
        <x:v>Specialisation; level offered; parent course; career focus; institutions; honours/major/elective distinction</x:v>
      </x:c>
      <x:c r="D8" s="14" t="str">
        <x:v>UGC; AICTE; professional regulator; university curriculum</x:v>
      </x:c>
      <x:c r="E8" s="14" t="str">
        <x:v>NQR; programme catalogues</x:v>
      </x:c>
      <x:c r="F8" s="14" t="str">
        <x:v>Tier A/B</x:v>
      </x:c>
      <x:c r="G8" s="14" t="str">
        <x:v>Distinguish formal specialisation from elective or informal marketing label</x:v>
      </x:c>
      <x:c r="H8" s="14" t="str">
        <x:v>Annual</x:v>
      </x:c>
      <x:c r="I8" s="14" t="str">
        <x:v>course_specialisations; course_variants</x:v>
      </x:c>
      <x:c r="J8" s="14" t="str">
        <x:v>Do not label postgraduate-only fields as UG specialisations.</x:v>
      </x:c>
    </x:row>
    <x:row r="9">
      <x:c r="A9" s="18" t="str">
        <x:v>S08</x:v>
      </x:c>
      <x:c r="B9" s="14" t="str">
        <x:v>Institutions offering the course</x:v>
      </x:c>
      <x:c r="C9" s="14" t="str">
        <x:v>Institution; campus; ownership; affiliation; recognition; approval; intake; course status; official page</x:v>
      </x:c>
      <x:c r="D9" s="14" t="str">
        <x:v>UGC HEI lists; AISHE; AICTE; professional councils</x:v>
      </x:c>
      <x:c r="E9" s="14" t="str">
        <x:v>Affiliating university; official institution course page</x:v>
      </x:c>
      <x:c r="F9" s="14" t="str">
        <x:v>Tier A/B</x:v>
      </x:c>
      <x:c r="G9" s="14" t="str">
        <x:v>Verify institution, campus and course for the same academic year</x:v>
      </x:c>
      <x:c r="H9" s="14" t="str">
        <x:v>At least annual</x:v>
      </x:c>
      <x:c r="I9" s="14" t="str">
        <x:v>institutions; campuses; institution_course_offerings</x:v>
      </x:c>
      <x:c r="J9" s="14" t="str">
        <x:v>A valid institution may not offer the specific course at every campus.</x:v>
      </x:c>
    </x:row>
    <x:row r="10">
      <x:c r="A10" s="18" t="str">
        <x:v>S09</x:v>
      </x:c>
      <x:c r="B10" s="14" t="str">
        <x:v>Government/private/aided classification</x:v>
      </x:c>
      <x:c r="C10" s="14" t="str">
        <x:v>Management type; funding; university category; aided/self-financing status</x:v>
      </x:c>
      <x:c r="D10" s="14" t="str">
        <x:v>UGC; AISHE; State Higher Education Department</x:v>
      </x:c>
      <x:c r="E10" s="14" t="str">
        <x:v>Affiliating university; establishment notification</x:v>
      </x:c>
      <x:c r="F10" s="14" t="str">
        <x:v>Tier A/B</x:v>
      </x:c>
      <x:c r="G10" s="14" t="str">
        <x:v>Do not classify from the institution name</x:v>
      </x:c>
      <x:c r="H10" s="14" t="str">
        <x:v>Annual</x:v>
      </x:c>
      <x:c r="I10" s="14" t="str">
        <x:v>institution_ownership_history</x:v>
      </x:c>
      <x:c r="J10" s="14" t="str">
        <x:v>Keep deemed status separate from ownership.</x:v>
      </x:c>
    </x:row>
    <x:row r="11">
      <x:c r="A11" s="18" t="str">
        <x:v>S10</x:v>
      </x:c>
      <x:c r="B11" s="14" t="str">
        <x:v>Rankings &amp; accreditation</x:v>
      </x:c>
      <x:c r="C11" s="14" t="str">
        <x:v>Ranking body; year; category; rank/band; score; NAAC; NBA; legal recognition</x:v>
      </x:c>
      <x:c r="D11" s="14" t="str">
        <x:v>NIRF; NAAC; NBA; UGC</x:v>
      </x:c>
      <x:c r="E11" s="14" t="str">
        <x:v>Official ranking/accreditation reports</x:v>
      </x:c>
      <x:c r="F11" s="14" t="str">
        <x:v>Tier A</x:v>
      </x:c>
      <x:c r="G11" s="14" t="str">
        <x:v>Keep ranking, accreditation and recognition as different concepts</x:v>
      </x:c>
      <x:c r="H11" s="14" t="str">
        <x:v>Annual / accreditation cycle</x:v>
      </x:c>
      <x:c r="I11" s="14" t="str">
        <x:v>institution_rankings; accreditations</x:v>
      </x:c>
      <x:c r="J11" s="14" t="str">
        <x:v>Do not invent a composite score unless methodology is transparent.</x:v>
      </x:c>
    </x:row>
    <x:row r="12">
      <x:c r="A12" s="18" t="str">
        <x:v>S11</x:v>
      </x:c>
      <x:c r="B12" s="14" t="str">
        <x:v>Fees &amp; total study cost</x:v>
      </x:c>
      <x:c r="C12" s="14" t="str">
        <x:v>Tuition; admission; exam; lab; library; deposit; hostel; mess; transport; equipment; quota; year</x:v>
      </x:c>
      <x:c r="D12" s="14" t="str">
        <x:v>Official prospectus; fee notification; counselling fee matrix</x:v>
      </x:c>
      <x:c r="E12" s="14" t="str">
        <x:v>Government fee-regulatory committee; hostel prospectus</x:v>
      </x:c>
      <x:c r="F12" s="14" t="str">
        <x:v>Tier B/A</x:v>
      </x:c>
      <x:c r="G12" s="14" t="str">
        <x:v>Every fee needs academic year, campus and seat/quota type</x:v>
      </x:c>
      <x:c r="H12" s="14" t="str">
        <x:v>Every admission cycle</x:v>
      </x:c>
      <x:c r="I12" s="14" t="str">
        <x:v>institution_course_fees</x:v>
      </x:c>
      <x:c r="J12" s="14" t="str">
        <x:v>Avoid a single fee number when the components vary.</x:v>
      </x:c>
    </x:row>
    <x:row r="13">
      <x:c r="A13" s="18" t="str">
        <x:v>S12</x:v>
      </x:c>
      <x:c r="B13" s="14" t="str">
        <x:v>Scholarships &amp; financial aid</x:v>
      </x:c>
      <x:c r="C13" s="14" t="str">
        <x:v>Scheme; provider; eligibility; income/category rules; award; dates; academic year</x:v>
      </x:c>
      <x:c r="D13" s="14" t="str">
        <x:v>National Scholarship Portal; State portals; AICTE schemes</x:v>
      </x:c>
      <x:c r="E13" s="14" t="str">
        <x:v>Official university scholarship pages</x:v>
      </x:c>
      <x:c r="F13" s="14" t="str">
        <x:v>Tier A/B</x:v>
      </x:c>
      <x:c r="G13" s="14" t="str">
        <x:v>Keep scholarships as time-sensitive records</x:v>
      </x:c>
      <x:c r="H13" s="14" t="str">
        <x:v>At least monthly in season</x:v>
      </x:c>
      <x:c r="I13" s="14" t="str">
        <x:v>scholarships; scholarship_course_links</x:v>
      </x:c>
      <x:c r="J13" s="14" t="str">
        <x:v>Do not embed expired deadlines in evergreen text.</x:v>
      </x:c>
    </x:row>
    <x:row r="14">
      <x:c r="A14" s="18" t="str">
        <x:v>S13</x:v>
      </x:c>
      <x:c r="B14" s="14" t="str">
        <x:v>Careers connected to the course</x:v>
      </x:c>
      <x:c r="C14" s="14" t="str">
        <x:v>Occupation; pathway strength; direct entry; extra degree; licence; skills; progression; government/self-employment</x:v>
      </x:c>
      <x:c r="D14" s="14" t="str">
        <x:v>National Career Service; NCO; NQR; NSDC; Sector Skill Councils</x:v>
      </x:c>
      <x:c r="E14" s="14" t="str">
        <x:v>Government recruitment rules; regulator scope-of-practice</x:v>
      </x:c>
      <x:c r="F14" s="14" t="str">
        <x:v>Tier A</x:v>
      </x:c>
      <x:c r="G14" s="14" t="str">
        <x:v>Use relationship labels: direct/common/related/PG/licence required</x:v>
      </x:c>
      <x:c r="H14" s="14" t="str">
        <x:v>Annual</x:v>
      </x:c>
      <x:c r="I14" s="14" t="str">
        <x:v>occupations; course_occupation_links</x:v>
      </x:c>
      <x:c r="J14" s="14" t="str">
        <x:v>Prevent misleading ‘degree = regulated profession’ claims.</x:v>
      </x:c>
    </x:row>
    <x:row r="15">
      <x:c r="A15" s="18" t="str">
        <x:v>S14</x:v>
      </x:c>
      <x:c r="B15" s="14" t="str">
        <x:v>Skills developed</x:v>
      </x:c>
      <x:c r="C15" s="14" t="str">
        <x:v>Subject, technical, practical, digital, transferable and regulated competencies</x:v>
      </x:c>
      <x:c r="D15" s="14" t="str">
        <x:v>Curriculum learning outcomes; NQR; NSDC Qualification Packs; NOS</x:v>
      </x:c>
      <x:c r="E15" s="14" t="str">
        <x:v>Employer job descriptions for validation</x:v>
      </x:c>
      <x:c r="F15" s="14" t="str">
        <x:v>Tier A/B/C</x:v>
      </x:c>
      <x:c r="G15" s="14" t="str">
        <x:v>Do not infer licensed competence from marketing text</x:v>
      </x:c>
      <x:c r="H15" s="14" t="str">
        <x:v>When curriculum/QP changes</x:v>
      </x:c>
      <x:c r="I15" s="14" t="str">
        <x:v>skills; course_skill_links</x:v>
      </x:c>
      <x:c r="J15" s="14" t="str">
        <x:v>Tag evidence type and proficiency level.</x:v>
      </x:c>
    </x:row>
    <x:row r="16">
      <x:c r="A16" s="18" t="str">
        <x:v>S15</x:v>
      </x:c>
      <x:c r="B16" s="14" t="str">
        <x:v>Salary: lowest, average &amp; highest LPA</x:v>
      </x:c>
      <x:c r="C16" s="14" t="str">
        <x:v>Role; qualification; experience; region; industry; salary type; sample size; source; year</x:v>
      </x:c>
      <x:c r="D16" s="14" t="str">
        <x:v>Official placement reports; NIRF graduation outcomes; PLFS/MoSPI</x:v>
      </x:c>
      <x:c r="E16" s="14" t="str">
        <x:v>Verified job ads; AmbitionBox; Glassdoor; Indeed; Naukri</x:v>
      </x:c>
      <x:c r="F16" s="14" t="str">
        <x:v>Tier B/A/D</x:v>
      </x:c>
      <x:c r="G16" s="14" t="str">
        <x:v>Never publish a universal course salary; link salary to role and context</x:v>
      </x:c>
      <x:c r="H16" s="14" t="str">
        <x:v>Quarterly / annual</x:v>
      </x:c>
      <x:c r="I16" s="14" t="str">
        <x:v>salary_observations; salary_summaries</x:v>
      </x:c>
      <x:c r="J16" s="14" t="str">
        <x:v>Show indicative range, period, sample and disclaimer.</x:v>
      </x:c>
    </x:row>
    <x:row r="17">
      <x:c r="A17" s="18" t="str">
        <x:v>S16</x:v>
      </x:c>
      <x:c r="B17" s="14" t="str">
        <x:v>Top recruiters</x:v>
      </x:c>
      <x:c r="C17" s="14" t="str">
        <x:v>Institution/course/department; recruiter; role; year; number hired; scope; report source</x:v>
      </x:c>
      <x:c r="D17" s="14" t="str">
        <x:v>Official placement report; placement office; annual report</x:v>
      </x:c>
      <x:c r="E17" s="14" t="str">
        <x:v>Recruiter careers page; verified announcement; LinkedIn Jobs</x:v>
      </x:c>
      <x:c r="F17" s="14" t="str">
        <x:v>Tier B/C</x:v>
      </x:c>
      <x:c r="G17" s="14" t="str">
        <x:v>Prove programme/department scope; do not imply guaranteed placement</x:v>
      </x:c>
      <x:c r="H17" s="14" t="str">
        <x:v>Annual</x:v>
      </x:c>
      <x:c r="I17" s="14" t="str">
        <x:v>placement_recruiters; placement_outcomes</x:v>
      </x:c>
      <x:c r="J17" s="14" t="str">
        <x:v>Check logo/trademark permissions.</x:v>
      </x:c>
    </x:row>
    <x:row r="18">
      <x:c r="A18" s="18" t="str">
        <x:v>S17</x:v>
      </x:c>
      <x:c r="B18" s="14" t="str">
        <x:v>Internships &amp; apprenticeships</x:v>
      </x:c>
      <x:c r="C18" s="14" t="str">
        <x:v>Type; eligible courses/year; duration; paid; stipend; location; provider; deadline</x:v>
      </x:c>
      <x:c r="D18" s="14" t="str">
        <x:v>AICTE Internship Portal; Apprenticeship India; NATS; Skill India</x:v>
      </x:c>
      <x:c r="E18" s="14" t="str">
        <x:v>Institution internship cell; company careers page</x:v>
      </x:c>
      <x:c r="F18" s="14" t="str">
        <x:v>Tier A/B/C</x:v>
      </x:c>
      <x:c r="G18" s="14" t="str">
        <x:v>Treat as live, expiring opportunities</x:v>
      </x:c>
      <x:c r="H18" s="14" t="str">
        <x:v>Weekly / monthly</x:v>
      </x:c>
      <x:c r="I18" s="14" t="str">
        <x:v>internships; apprenticeship_opportunities</x:v>
      </x:c>
      <x:c r="J18" s="14" t="str">
        <x:v>Do not store expired openings as current.</x:v>
      </x:c>
    </x:row>
    <x:row r="19">
      <x:c r="A19" s="18" t="str">
        <x:v>S18</x:v>
      </x:c>
      <x:c r="B19" s="14" t="str">
        <x:v>Further-study pathways</x:v>
      </x:c>
      <x:c r="C19" s="14" t="str">
        <x:v>Next course; eligibility; entrance exam; regulator; licence route; alternative pathways</x:v>
      </x:c>
      <x:c r="D19" s="14" t="str">
        <x:v>UGC framework; professional regulator; NQR</x:v>
      </x:c>
      <x:c r="E19" s="14" t="str">
        <x:v>Official university admissions and programme catalogues</x:v>
      </x:c>
      <x:c r="F19" s="14" t="str">
        <x:v>Tier A/B</x:v>
      </x:c>
      <x:c r="G19" s="14" t="str">
        <x:v>Verify prerequisites and regulated pathways</x:v>
      </x:c>
      <x:c r="H19" s="14" t="str">
        <x:v>Annual</x:v>
      </x:c>
      <x:c r="I19" s="14" t="str">
        <x:v>course_progression_links</x:v>
      </x:c>
      <x:c r="J19" s="14" t="str">
        <x:v>Record route type and required bridging subjects.</x:v>
      </x:c>
    </x:row>
    <x:row r="20">
      <x:c r="A20" s="18" t="str">
        <x:v>S19</x:v>
      </x:c>
      <x:c r="B20" s="14" t="str">
        <x:v>Student reviews &amp; campus experience</x:v>
      </x:c>
      <x:c r="C20" s="14" t="str">
        <x:v>Teaching, facilities, campus environment, support, qualitative themes</x:v>
      </x:c>
      <x:c r="D20" s="14" t="str">
        <x:v>NAAC SSR and Student Satisfaction material; institution annual reports</x:v>
      </x:c>
      <x:c r="E20" s="14" t="str">
        <x:v>Shiksha; Careers360; CollegeDunia; Google reviews; alumni interviews</x:v>
      </x:c>
      <x:c r="F20" s="14" t="str">
        <x:v>Tier B/D/E</x:v>
      </x:c>
      <x:c r="G20" s="14" t="str">
        <x:v>Use only for qualitative insights; never for official facts</x:v>
      </x:c>
      <x:c r="H20" s="14" t="str">
        <x:v>Rolling</x:v>
      </x:c>
      <x:c r="I20" s="14" t="str">
        <x:v>institution_reviews; review_themes</x:v>
      </x:c>
      <x:c r="J20" s="14" t="str">
        <x:v>Moderate, de-identify and record review date/source.</x:v>
      </x:c>
    </x:row>
  </x:sheetData>
  <x:conditionalFormatting sqref="F2:F20">
    <x:cfRule type="expression" dxfId="0" priority="1">
      <x:formula>ISNUMBER(SEARCH("Tier A",F2))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a5dc2054c34c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24" hidden="0" customWidth="1"/>
    <x:col min="5" max="5" width="12" hidden="0" customWidth="1"/>
    <x:col min="6" max="6" width="40" hidden="0" customWidth="1"/>
    <x:col min="7" max="7" width="40" hidden="0" customWidth="1"/>
    <x:col min="8" max="8" width="20" hidden="0" customWidth="1"/>
    <x:col min="9" max="9" width="14" hidden="0" customWidth="1"/>
  </x:cols>
  <x:sheetData>
    <x:row r="1">
      <x:c r="A1" s="6" t="str">
        <x:v>Short Name</x:v>
      </x:c>
      <x:c r="B1" s="6" t="str">
        <x:v>Source / Organisation</x:v>
      </x:c>
      <x:c r="C1" s="6" t="str">
        <x:v>Official URL</x:v>
      </x:c>
      <x:c r="D1" s="6" t="str">
        <x:v>Authority Type</x:v>
      </x:c>
      <x:c r="E1" s="6" t="str">
        <x:v>Tier</x:v>
      </x:c>
      <x:c r="F1" s="6" t="str">
        <x:v>Best Used For</x:v>
      </x:c>
      <x:c r="G1" s="6" t="str">
        <x:v>Important Usage Rule</x:v>
      </x:c>
      <x:c r="H1" s="6" t="str">
        <x:v>Recommended Refresh</x:v>
      </x:c>
      <x:c r="I1" s="6" t="str">
        <x:v>Coverage</x:v>
      </x:c>
    </x:row>
    <x:row r="2">
      <x:c r="A2" s="14" t="str">
        <x:v>UGC</x:v>
      </x:c>
      <x:c r="B2" s="14" t="str">
        <x:v>University Grants Commission</x:v>
      </x:c>
      <x:c r="C2" s="14" t="str">
        <x:v>https://www.ugc.gov.in/</x:v>
      </x:c>
      <x:c r="D2" s="14" t="str">
        <x:v>Statutory regulator</x:v>
      </x:c>
      <x:c r="E2" s="14" t="str">
        <x:v>Tier A</x:v>
      </x:c>
      <x:c r="F2" s="14" t="str">
        <x:v>University recognition; degree nomenclature; regulations; HEI categories</x:v>
      </x:c>
      <x:c r="G2" s="14" t="str">
        <x:v>Primary canonical source for university-level recognition and degree rules</x:v>
      </x:c>
      <x:c r="H2" s="14" t="str">
        <x:v>As regulations change</x:v>
      </x:c>
      <x:c r="I2" s="14" t="str">
        <x:v>National</x:v>
      </x:c>
    </x:row>
    <x:row r="3">
      <x:c r="A3" s="14" t="str">
        <x:v>UGC HEI Search</x:v>
      </x:c>
      <x:c r="B3" s="14" t="str">
        <x:v>UGC university details</x:v>
      </x:c>
      <x:c r="C3" s="14" t="str">
        <x:v>https://www.ugc.gov.in/universitydetails/university</x:v>
      </x:c>
      <x:c r="D3" s="14" t="str">
        <x:v>Official directory</x:v>
      </x:c>
      <x:c r="E3" s="14" t="str">
        <x:v>Tier A</x:v>
      </x:c>
      <x:c r="F3" s="14" t="str">
        <x:v>Central/state/private/deemed universities and institutions of national importance</x:v>
      </x:c>
      <x:c r="G3" s="14" t="str">
        <x:v>Verify the exact institution category and current status</x:v>
      </x:c>
      <x:c r="H3" s="14" t="str">
        <x:v>Annual / ongoing</x:v>
      </x:c>
      <x:c r="I3" s="14" t="str">
        <x:v>National</x:v>
      </x:c>
    </x:row>
    <x:row r="4">
      <x:c r="A4" s="14" t="str">
        <x:v>UGC DEB</x:v>
      </x:c>
      <x:c r="B4" s="14" t="str">
        <x:v>Distance Education Bureau</x:v>
      </x:c>
      <x:c r="C4" s="14" t="str">
        <x:v>https://deb.ugc.ac.in/</x:v>
      </x:c>
      <x:c r="D4" s="14" t="str">
        <x:v>Statutory programme directory</x:v>
      </x:c>
      <x:c r="E4" s="14" t="str">
        <x:v>Tier A</x:v>
      </x:c>
      <x:c r="F4" s="14" t="str">
        <x:v>Recognised online and distance programmes by session</x:v>
      </x:c>
      <x:c r="G4" s="14" t="str">
        <x:v>Verify institution, programme and admission session together</x:v>
      </x:c>
      <x:c r="H4" s="14" t="str">
        <x:v>Every admission cycle</x:v>
      </x:c>
      <x:c r="I4" s="14" t="str">
        <x:v>National</x:v>
      </x:c>
    </x:row>
    <x:row r="5">
      <x:c r="A5" s="14" t="str">
        <x:v>AISHE</x:v>
      </x:c>
      <x:c r="B5" s="14" t="str">
        <x:v>All India Survey on Higher Education</x:v>
      </x:c>
      <x:c r="C5" s="14" t="str">
        <x:v>https://aishe.gov.in/</x:v>
      </x:c>
      <x:c r="D5" s="14" t="str">
        <x:v>Government directory/data</x:v>
      </x:c>
      <x:c r="E5" s="14" t="str">
        <x:v>Tier A</x:v>
      </x:c>
      <x:c r="F5" s="14" t="str">
        <x:v>Universities, colleges, standalone institutions, programmes and enrolment</x:v>
      </x:c>
      <x:c r="G5" s="14" t="str">
        <x:v>Use AISHE code as an institutional identifier where available</x:v>
      </x:c>
      <x:c r="H5" s="14" t="str">
        <x:v>Annual</x:v>
      </x:c>
      <x:c r="I5" s="14" t="str">
        <x:v>National</x:v>
      </x:c>
    </x:row>
    <x:row r="6">
      <x:c r="A6" s="14" t="str">
        <x:v>NIRF</x:v>
      </x:c>
      <x:c r="B6" s="14" t="str">
        <x:v>National Institutional Ranking Framework</x:v>
      </x:c>
      <x:c r="C6" s="14" t="str">
        <x:v>https://www.nirfindia.org/</x:v>
      </x:c>
      <x:c r="D6" s="14" t="str">
        <x:v>Government ranking</x:v>
      </x:c>
      <x:c r="E6" s="14" t="str">
        <x:v>Tier A</x:v>
      </x:c>
      <x:c r="F6" s="14" t="str">
        <x:v>Institution/category rankings, rank bands, scores and methodology</x:v>
      </x:c>
      <x:c r="G6" s="14" t="str">
        <x:v>Do not mislabel institution/category rank as course rank</x:v>
      </x:c>
      <x:c r="H6" s="14" t="str">
        <x:v>Annual</x:v>
      </x:c>
      <x:c r="I6" s="14" t="str">
        <x:v>National</x:v>
      </x:c>
    </x:row>
    <x:row r="7">
      <x:c r="A7" s="14" t="str">
        <x:v>NAAC</x:v>
      </x:c>
      <x:c r="B7" s="14" t="str">
        <x:v>National Assessment and Accreditation Council</x:v>
      </x:c>
      <x:c r="C7" s="14" t="str">
        <x:v>https://www.naac.gov.in/</x:v>
      </x:c>
      <x:c r="D7" s="14" t="str">
        <x:v>Accreditation body</x:v>
      </x:c>
      <x:c r="E7" s="14" t="str">
        <x:v>Tier A</x:v>
      </x:c>
      <x:c r="F7" s="14" t="str">
        <x:v>Institutional accreditation status and grade</x:v>
      </x:c>
      <x:c r="G7" s="14" t="str">
        <x:v>Accreditation is not the same as ranking or legal recognition</x:v>
      </x:c>
      <x:c r="H7" s="14" t="str">
        <x:v>Accreditation cycle</x:v>
      </x:c>
      <x:c r="I7" s="14" t="str">
        <x:v>National</x:v>
      </x:c>
    </x:row>
    <x:row r="8">
      <x:c r="A8" s="14" t="str">
        <x:v>NBA</x:v>
      </x:c>
      <x:c r="B8" s="14" t="str">
        <x:v>National Board of Accreditation</x:v>
      </x:c>
      <x:c r="C8" s="14" t="str">
        <x:v>https://www.nbaind.org/</x:v>
      </x:c>
      <x:c r="D8" s="14" t="str">
        <x:v>Programme accreditation body</x:v>
      </x:c>
      <x:c r="E8" s="14" t="str">
        <x:v>Tier A</x:v>
      </x:c>
      <x:c r="F8" s="14" t="str">
        <x:v>Programme-level accreditation in covered disciplines</x:v>
      </x:c>
      <x:c r="G8" s="14" t="str">
        <x:v>Check programme, campus and validity period</x:v>
      </x:c>
      <x:c r="H8" s="14" t="str">
        <x:v>Accreditation cycle</x:v>
      </x:c>
      <x:c r="I8" s="14" t="str">
        <x:v>National</x:v>
      </x:c>
    </x:row>
    <x:row r="9">
      <x:c r="A9" s="14" t="str">
        <x:v>AICTE</x:v>
      </x:c>
      <x:c r="B9" s="14" t="str">
        <x:v>All India Council for Technical Education</x:v>
      </x:c>
      <x:c r="C9" s="14" t="str">
        <x:v>https://www.aicte-india.org/</x:v>
      </x:c>
      <x:c r="D9" s="14" t="str">
        <x:v>Statutory regulator</x:v>
      </x:c>
      <x:c r="E9" s="14" t="str">
        <x:v>Tier A</x:v>
      </x:c>
      <x:c r="F9" s="14" t="str">
        <x:v>Technical education approval, model curricula, institutions and programmes</x:v>
      </x:c>
      <x:c r="G9" s="14" t="str">
        <x:v>Use for relevant technical/management disciplines</x:v>
      </x:c>
      <x:c r="H9" s="14" t="str">
        <x:v>Annual / regulatory</x:v>
      </x:c>
      <x:c r="I9" s="14" t="str">
        <x:v>National</x:v>
      </x:c>
    </x:row>
    <x:row r="10">
      <x:c r="A10" s="14" t="str">
        <x:v>NQR</x:v>
      </x:c>
      <x:c r="B10" s="14" t="str">
        <x:v>National Qualifications Register</x:v>
      </x:c>
      <x:c r="C10" s="14" t="str">
        <x:v>https://www.nqr.gov.in/</x:v>
      </x:c>
      <x:c r="D10" s="14" t="str">
        <x:v>Government qualification register</x:v>
      </x:c>
      <x:c r="E10" s="14" t="str">
        <x:v>Tier A</x:v>
      </x:c>
      <x:c r="F10" s="14" t="str">
        <x:v>NSQF-aligned qualifications, levels, awarding and approving bodies</x:v>
      </x:c>
      <x:c r="G10" s="14" t="str">
        <x:v>Strong source for vocational and skill qualifications</x:v>
      </x:c>
      <x:c r="H10" s="14" t="str">
        <x:v>Ongoing</x:v>
      </x:c>
      <x:c r="I10" s="14" t="str">
        <x:v>National</x:v>
      </x:c>
    </x:row>
    <x:row r="11">
      <x:c r="A11" s="14" t="str">
        <x:v>NCS</x:v>
      </x:c>
      <x:c r="B11" s="14" t="str">
        <x:v>National Career Service</x:v>
      </x:c>
      <x:c r="C11" s="14" t="str">
        <x:v>https://www.ncs.gov.in/</x:v>
      </x:c>
      <x:c r="D11" s="14" t="str">
        <x:v>Government career service</x:v>
      </x:c>
      <x:c r="E11" s="14" t="str">
        <x:v>Tier A</x:v>
      </x:c>
      <x:c r="F11" s="14" t="str">
        <x:v>Occupations, career descriptions and labour-market information</x:v>
      </x:c>
      <x:c r="G11" s="14" t="str">
        <x:v>Map course pathways to occupations rather than making job guarantees</x:v>
      </x:c>
      <x:c r="H11" s="14" t="str">
        <x:v>Ongoing</x:v>
      </x:c>
      <x:c r="I11" s="14" t="str">
        <x:v>National</x:v>
      </x:c>
    </x:row>
    <x:row r="12">
      <x:c r="A12" s="14" t="str">
        <x:v>NSDC</x:v>
      </x:c>
      <x:c r="B12" s="14" t="str">
        <x:v>National Skill Development Corporation</x:v>
      </x:c>
      <x:c r="C12" s="14" t="str">
        <x:v>https://nsdcindia.org/</x:v>
      </x:c>
      <x:c r="D12" s="14" t="str">
        <x:v>National skill ecosystem</x:v>
      </x:c>
      <x:c r="E12" s="14" t="str">
        <x:v>Tier A/B</x:v>
      </x:c>
      <x:c r="F12" s="14" t="str">
        <x:v>Qualification Packs, occupational standards, sector skill councils and job roles</x:v>
      </x:c>
      <x:c r="G12" s="14" t="str">
        <x:v>Use QP/NOS codes where available</x:v>
      </x:c>
      <x:c r="H12" s="14" t="str">
        <x:v>As standards change</x:v>
      </x:c>
      <x:c r="I12" s="14" t="str">
        <x:v>National</x:v>
      </x:c>
    </x:row>
    <x:row r="13">
      <x:c r="A13" s="14" t="str">
        <x:v>Skill India Digital</x:v>
      </x:c>
      <x:c r="B13" s="14" t="str">
        <x:v>Skill India Digital Hub</x:v>
      </x:c>
      <x:c r="C13" s="14" t="str">
        <x:v>https://www.skillindiadigital.gov.in/</x:v>
      </x:c>
      <x:c r="D13" s="14" t="str">
        <x:v>Government digital platform</x:v>
      </x:c>
      <x:c r="E13" s="14" t="str">
        <x:v>Tier A</x:v>
      </x:c>
      <x:c r="F13" s="14" t="str">
        <x:v>Skill courses, credentials and opportunities</x:v>
      </x:c>
      <x:c r="G13" s="14" t="str">
        <x:v>Useful for skills, short courses and progression routes</x:v>
      </x:c>
      <x:c r="H13" s="14" t="str">
        <x:v>Ongoing</x:v>
      </x:c>
      <x:c r="I13" s="14" t="str">
        <x:v>National</x:v>
      </x:c>
    </x:row>
    <x:row r="14">
      <x:c r="A14" s="14" t="str">
        <x:v>National Scholarship Portal</x:v>
      </x:c>
      <x:c r="B14" s="14" t="str">
        <x:v>Government of India</x:v>
      </x:c>
      <x:c r="C14" s="14" t="str">
        <x:v>https://scholarships.gov.in/</x:v>
      </x:c>
      <x:c r="D14" s="14" t="str">
        <x:v>Government scholarship portal</x:v>
      </x:c>
      <x:c r="E14" s="14" t="str">
        <x:v>Tier A</x:v>
      </x:c>
      <x:c r="F14" s="14" t="str">
        <x:v>Central scholarship schemes, eligibility and application workflow</x:v>
      </x:c>
      <x:c r="G14" s="14" t="str">
        <x:v>Store scheme year and deadline</x:v>
      </x:c>
      <x:c r="H14" s="14" t="str">
        <x:v>Seasonal / ongoing</x:v>
      </x:c>
      <x:c r="I14" s="14" t="str">
        <x:v>National</x:v>
      </x:c>
    </x:row>
    <x:row r="15">
      <x:c r="A15" s="14" t="str">
        <x:v>NTA</x:v>
      </x:c>
      <x:c r="B15" s="14" t="str">
        <x:v>National Testing Agency</x:v>
      </x:c>
      <x:c r="C15" s="14" t="str">
        <x:v>https://www.nta.ac.in/</x:v>
      </x:c>
      <x:c r="D15" s="14" t="str">
        <x:v>National examination body</x:v>
      </x:c>
      <x:c r="E15" s="14" t="str">
        <x:v>Tier A</x:v>
      </x:c>
      <x:c r="F15" s="14" t="str">
        <x:v>Entrance exam bulletins, dates, results and notices</x:v>
      </x:c>
      <x:c r="G15" s="14" t="str">
        <x:v>Use exam-specific official bulletins</x:v>
      </x:c>
      <x:c r="H15" s="14" t="str">
        <x:v>Continuous</x:v>
      </x:c>
      <x:c r="I15" s="14" t="str">
        <x:v>National</x:v>
      </x:c>
    </x:row>
    <x:row r="16">
      <x:c r="A16" s="14" t="str">
        <x:v>CUET</x:v>
      </x:c>
      <x:c r="B16" s="14" t="str">
        <x:v>Common University Entrance Test</x:v>
      </x:c>
      <x:c r="C16" s="14" t="str">
        <x:v>https://exams.nta.ac.in/CUET-UG/</x:v>
      </x:c>
      <x:c r="D16" s="14" t="str">
        <x:v>Official exam portal</x:v>
      </x:c>
      <x:c r="E16" s="14" t="str">
        <x:v>Tier A</x:v>
      </x:c>
      <x:c r="F16" s="14" t="str">
        <x:v>CUET-UG information, application and bulletin</x:v>
      </x:c>
      <x:c r="G16" s="14" t="str">
        <x:v>Course eligibility still depends on individual university rules</x:v>
      </x:c>
      <x:c r="H16" s="14" t="str">
        <x:v>Annual</x:v>
      </x:c>
      <x:c r="I16" s="14" t="str">
        <x:v>National</x:v>
      </x:c>
    </x:row>
    <x:row r="17">
      <x:c r="A17" s="14" t="str">
        <x:v>JoSAA</x:v>
      </x:c>
      <x:c r="B17" s="14" t="str">
        <x:v>Joint Seat Allocation Authority</x:v>
      </x:c>
      <x:c r="C17" s="14" t="str">
        <x:v>https://josaa.nic.in/</x:v>
      </x:c>
      <x:c r="D17" s="14" t="str">
        <x:v>Official counselling body</x:v>
      </x:c>
      <x:c r="E17" s="14" t="str">
        <x:v>Tier A</x:v>
      </x:c>
      <x:c r="F17" s="14" t="str">
        <x:v>Institutions, programmes, seat matrix and opening/closing ranks</x:v>
      </x:c>
      <x:c r="G17" s="14" t="str">
        <x:v>Store counselling year and category</x:v>
      </x:c>
      <x:c r="H17" s="14" t="str">
        <x:v>Annual</x:v>
      </x:c>
      <x:c r="I17" s="14" t="str">
        <x:v>National</x:v>
      </x:c>
    </x:row>
    <x:row r="18">
      <x:c r="A18" s="14" t="str">
        <x:v>CSAB</x:v>
      </x:c>
      <x:c r="B18" s="14" t="str">
        <x:v>Central Seat Allocation Board</x:v>
      </x:c>
      <x:c r="C18" s="14" t="str">
        <x:v>https://csab.nic.in/</x:v>
      </x:c>
      <x:c r="D18" s="14" t="str">
        <x:v>Official counselling body</x:v>
      </x:c>
      <x:c r="E18" s="14" t="str">
        <x:v>Tier A</x:v>
      </x:c>
      <x:c r="F18" s="14" t="str">
        <x:v>Special rounds and technical seat allocation</x:v>
      </x:c>
      <x:c r="G18" s="14" t="str">
        <x:v>Use current round rules and seat data</x:v>
      </x:c>
      <x:c r="H18" s="14" t="str">
        <x:v>Annual</x:v>
      </x:c>
      <x:c r="I18" s="14" t="str">
        <x:v>National</x:v>
      </x:c>
    </x:row>
    <x:row r="19">
      <x:c r="A19" s="14" t="str">
        <x:v>MCC</x:v>
      </x:c>
      <x:c r="B19" s="14" t="str">
        <x:v>Medical Counselling Committee</x:v>
      </x:c>
      <x:c r="C19" s="14" t="str">
        <x:v>https://mcc.nic.in/</x:v>
      </x:c>
      <x:c r="D19" s="14" t="str">
        <x:v>Official counselling body</x:v>
      </x:c>
      <x:c r="E19" s="14" t="str">
        <x:v>Tier A</x:v>
      </x:c>
      <x:c r="F19" s="14" t="str">
        <x:v>Medical/dental counselling routes administered by MCC</x:v>
      </x:c>
      <x:c r="G19" s="14" t="str">
        <x:v>State counselling may be separate</x:v>
      </x:c>
      <x:c r="H19" s="14" t="str">
        <x:v>Annual</x:v>
      </x:c>
      <x:c r="I19" s="14" t="str">
        <x:v>National</x:v>
      </x:c>
    </x:row>
    <x:row r="20">
      <x:c r="A20" s="14" t="str">
        <x:v>CEE Kerala</x:v>
      </x:c>
      <x:c r="B20" s="14" t="str">
        <x:v>Commissioner for Entrance Examinations Kerala</x:v>
      </x:c>
      <x:c r="C20" s="14" t="str">
        <x:v>https://cee.kerala.gov.in/</x:v>
      </x:c>
      <x:c r="D20" s="14" t="str">
        <x:v>State exam/counselling body</x:v>
      </x:c>
      <x:c r="E20" s="14" t="str">
        <x:v>Tier A</x:v>
      </x:c>
      <x:c r="F20" s="14" t="str">
        <x:v>Kerala professional course exams, allotments and prospectuses</x:v>
      </x:c>
      <x:c r="G20" s="14" t="str">
        <x:v>Strong source for Kerala admission cycles</x:v>
      </x:c>
      <x:c r="H20" s="14" t="str">
        <x:v>Continuous in season</x:v>
      </x:c>
      <x:c r="I20" s="14" t="str">
        <x:v>Kerala</x:v>
      </x:c>
    </x:row>
    <x:row r="21">
      <x:c r="A21" s="14" t="str">
        <x:v>LBS Kerala</x:v>
      </x:c>
      <x:c r="B21" s="14" t="str">
        <x:v>LBS Centre for Science and Technology</x:v>
      </x:c>
      <x:c r="C21" s="14" t="str">
        <x:v>https://lbscentre.kerala.gov.in/</x:v>
      </x:c>
      <x:c r="D21" s="14" t="str">
        <x:v>State admissions body</x:v>
      </x:c>
      <x:c r="E21" s="14" t="str">
        <x:v>Tier A/B</x:v>
      </x:c>
      <x:c r="F21" s="14" t="str">
        <x:v>Selected Kerala centralised admissions and allotments</x:v>
      </x:c>
      <x:c r="G21" s="14" t="str">
        <x:v>Use the relevant programme prospectus</x:v>
      </x:c>
      <x:c r="H21" s="14" t="str">
        <x:v>Annual</x:v>
      </x:c>
      <x:c r="I21" s="14" t="str">
        <x:v>Kerala</x:v>
      </x:c>
    </x:row>
    <x:row r="22">
      <x:c r="A22" s="14" t="str">
        <x:v>DTE Kerala</x:v>
      </x:c>
      <x:c r="B22" s="14" t="str">
        <x:v>Directorate of Technical Education Kerala</x:v>
      </x:c>
      <x:c r="C22" s="14" t="str">
        <x:v>https://dtekerala.gov.in/</x:v>
      </x:c>
      <x:c r="D22" s="14" t="str">
        <x:v>State technical authority</x:v>
      </x:c>
      <x:c r="E22" s="14" t="str">
        <x:v>Tier A</x:v>
      </x:c>
      <x:c r="F22" s="14" t="str">
        <x:v>Technical education institutions, diploma/engineering notices and policies</x:v>
      </x:c>
      <x:c r="G22" s="14" t="str">
        <x:v>Verify programme and academic year</x:v>
      </x:c>
      <x:c r="H22" s="14" t="str">
        <x:v>Ongoing</x:v>
      </x:c>
      <x:c r="I22" s="14" t="str">
        <x:v>Kerala</x:v>
      </x:c>
    </x:row>
    <x:row r="23">
      <x:c r="A23" s="14" t="str">
        <x:v>NMC</x:v>
      </x:c>
      <x:c r="B23" s="14" t="str">
        <x:v>National Medical Commission</x:v>
      </x:c>
      <x:c r="C23" s="14" t="str">
        <x:v>https://www.nmc.org.in/</x:v>
      </x:c>
      <x:c r="D23" s="14" t="str">
        <x:v>Professional regulator</x:v>
      </x:c>
      <x:c r="E23" s="14" t="str">
        <x:v>Tier A</x:v>
      </x:c>
      <x:c r="F23" s="14" t="str">
        <x:v>Medical colleges, programmes, seats and professional rules</x:v>
      </x:c>
      <x:c r="G23" s="14" t="str">
        <x:v>Use exact college/programme list and current year</x:v>
      </x:c>
      <x:c r="H23" s="14" t="str">
        <x:v>Ongoing</x:v>
      </x:c>
      <x:c r="I23" s="14" t="str">
        <x:v>National</x:v>
      </x:c>
    </x:row>
    <x:row r="24">
      <x:c r="A24" s="14" t="str">
        <x:v>DCI</x:v>
      </x:c>
      <x:c r="B24" s="14" t="str">
        <x:v>Dental Council of India</x:v>
      </x:c>
      <x:c r="C24" s="14" t="str">
        <x:v>https://dciindia.gov.in/</x:v>
      </x:c>
      <x:c r="D24" s="14" t="str">
        <x:v>Professional regulator</x:v>
      </x:c>
      <x:c r="E24" s="14" t="str">
        <x:v>Tier A</x:v>
      </x:c>
      <x:c r="F24" s="14" t="str">
        <x:v>Dental institutions, courses and regulations</x:v>
      </x:c>
      <x:c r="G24" s="14" t="str">
        <x:v>Validate course and seat approval</x:v>
      </x:c>
      <x:c r="H24" s="14" t="str">
        <x:v>Ongoing</x:v>
      </x:c>
      <x:c r="I24" s="14" t="str">
        <x:v>National</x:v>
      </x:c>
    </x:row>
    <x:row r="25">
      <x:c r="A25" s="14" t="str">
        <x:v>INC</x:v>
      </x:c>
      <x:c r="B25" s="14" t="str">
        <x:v>Indian Nursing Council</x:v>
      </x:c>
      <x:c r="C25" s="14" t="str">
        <x:v>https://www.indiannursingcouncil.org/</x:v>
      </x:c>
      <x:c r="D25" s="14" t="str">
        <x:v>Professional regulator</x:v>
      </x:c>
      <x:c r="E25" s="14" t="str">
        <x:v>Tier A</x:v>
      </x:c>
      <x:c r="F25" s="14" t="str">
        <x:v>Nursing programme standards and institution information</x:v>
      </x:c>
      <x:c r="G25" s="14" t="str">
        <x:v>Also verify the relevant state nursing council</x:v>
      </x:c>
      <x:c r="H25" s="14" t="str">
        <x:v>Ongoing</x:v>
      </x:c>
      <x:c r="I25" s="14" t="str">
        <x:v>National</x:v>
      </x:c>
    </x:row>
    <x:row r="26">
      <x:c r="A26" s="14" t="str">
        <x:v>PCI</x:v>
      </x:c>
      <x:c r="B26" s="14" t="str">
        <x:v>Pharmacy Council of India</x:v>
      </x:c>
      <x:c r="C26" s="14" t="str">
        <x:v>https://www.pci.nic.in/</x:v>
      </x:c>
      <x:c r="D26" s="14" t="str">
        <x:v>Professional regulator</x:v>
      </x:c>
      <x:c r="E26" s="14" t="str">
        <x:v>Tier A</x:v>
      </x:c>
      <x:c r="F26" s="14" t="str">
        <x:v>Pharmacy education, approved institutions and regulations</x:v>
      </x:c>
      <x:c r="G26" s="14" t="str">
        <x:v>Check programme and approval year</x:v>
      </x:c>
      <x:c r="H26" s="14" t="str">
        <x:v>Ongoing</x:v>
      </x:c>
      <x:c r="I26" s="14" t="str">
        <x:v>National</x:v>
      </x:c>
    </x:row>
    <x:row r="27">
      <x:c r="A27" s="14" t="str">
        <x:v>COA</x:v>
      </x:c>
      <x:c r="B27" s="14" t="str">
        <x:v>Council of Architecture</x:v>
      </x:c>
      <x:c r="C27" s="14" t="str">
        <x:v>https://www.coa.gov.in/</x:v>
      </x:c>
      <x:c r="D27" s="14" t="str">
        <x:v>Professional regulator</x:v>
      </x:c>
      <x:c r="E27" s="14" t="str">
        <x:v>Tier A</x:v>
      </x:c>
      <x:c r="F27" s="14" t="str">
        <x:v>Architecture education, institutions and professional rules</x:v>
      </x:c>
      <x:c r="G27" s="14" t="str">
        <x:v>Use for BArch/MArch recognition and standards</x:v>
      </x:c>
      <x:c r="H27" s="14" t="str">
        <x:v>Ongoing</x:v>
      </x:c>
      <x:c r="I27" s="14" t="str">
        <x:v>National</x:v>
      </x:c>
    </x:row>
    <x:row r="28">
      <x:c r="A28" s="14" t="str">
        <x:v>NCTE</x:v>
      </x:c>
      <x:c r="B28" s="14" t="str">
        <x:v>National Council for Teacher Education</x:v>
      </x:c>
      <x:c r="C28" s="14" t="str">
        <x:v>https://ncte.gov.in/</x:v>
      </x:c>
      <x:c r="D28" s="14" t="str">
        <x:v>Professional regulator</x:v>
      </x:c>
      <x:c r="E28" s="14" t="str">
        <x:v>Tier A</x:v>
      </x:c>
      <x:c r="F28" s="14" t="str">
        <x:v>Teacher-education institution/programme recognition</x:v>
      </x:c>
      <x:c r="G28" s="14" t="str">
        <x:v>Verify regional committee orders and validity</x:v>
      </x:c>
      <x:c r="H28" s="14" t="str">
        <x:v>Ongoing</x:v>
      </x:c>
      <x:c r="I28" s="14" t="str">
        <x:v>National</x:v>
      </x:c>
    </x:row>
    <x:row r="29">
      <x:c r="A29" s="14" t="str">
        <x:v>BCI</x:v>
      </x:c>
      <x:c r="B29" s="14" t="str">
        <x:v>Bar Council of India</x:v>
      </x:c>
      <x:c r="C29" s="14" t="str">
        <x:v>https://www.barcouncilofindia.org/</x:v>
      </x:c>
      <x:c r="D29" s="14" t="str">
        <x:v>Professional regulator</x:v>
      </x:c>
      <x:c r="E29" s="14" t="str">
        <x:v>Tier A</x:v>
      </x:c>
      <x:c r="F29" s="14" t="str">
        <x:v>Legal education standards and recognised institutions</x:v>
      </x:c>
      <x:c r="G29" s="14" t="str">
        <x:v>Check current recognition of the specific law programme</x:v>
      </x:c>
      <x:c r="H29" s="14" t="str">
        <x:v>Ongoing</x:v>
      </x:c>
      <x:c r="I29" s="14" t="str">
        <x:v>National</x:v>
      </x:c>
    </x:row>
    <x:row r="30">
      <x:c r="A30" s="14" t="str">
        <x:v>ICAR</x:v>
      </x:c>
      <x:c r="B30" s="14" t="str">
        <x:v>Indian Council of Agricultural Research</x:v>
      </x:c>
      <x:c r="C30" s="14" t="str">
        <x:v>https://icar.gov.in/</x:v>
      </x:c>
      <x:c r="D30" s="14" t="str">
        <x:v>National agricultural body</x:v>
      </x:c>
      <x:c r="E30" s="14" t="str">
        <x:v>Tier A/B</x:v>
      </x:c>
      <x:c r="F30" s="14" t="str">
        <x:v>Agricultural education standards, institutions and admissions information</x:v>
      </x:c>
      <x:c r="G30" s="14" t="str">
        <x:v>Also verify university and programme approvals</x:v>
      </x:c>
      <x:c r="H30" s="14" t="str">
        <x:v>Annual / ongoing</x:v>
      </x:c>
      <x:c r="I30" s="14" t="str">
        <x:v>National</x:v>
      </x:c>
    </x:row>
    <x:row r="31">
      <x:c r="A31" s="14" t="str">
        <x:v>RCI</x:v>
      </x:c>
      <x:c r="B31" s="14" t="str">
        <x:v>Rehabilitation Council of India</x:v>
      </x:c>
      <x:c r="C31" s="14" t="str">
        <x:v>https://rehabcouncil.nic.in/</x:v>
      </x:c>
      <x:c r="D31" s="14" t="str">
        <x:v>Professional regulator</x:v>
      </x:c>
      <x:c r="E31" s="14" t="str">
        <x:v>Tier A</x:v>
      </x:c>
      <x:c r="F31" s="14" t="str">
        <x:v>Approved rehabilitation programmes and professional registration pathways</x:v>
      </x:c>
      <x:c r="G31" s="14" t="str">
        <x:v>Critical for regulated rehabilitation roles</x:v>
      </x:c>
      <x:c r="H31" s="14" t="str">
        <x:v>Ongoing</x:v>
      </x:c>
      <x:c r="I31" s="14" t="str">
        <x:v>National</x:v>
      </x:c>
    </x:row>
    <x:row r="32">
      <x:c r="A32" s="14" t="str">
        <x:v>Apprenticeship India</x:v>
      </x:c>
      <x:c r="B32" s="14" t="str">
        <x:v>Government apprenticeship portal</x:v>
      </x:c>
      <x:c r="C32" s="14" t="str">
        <x:v>https://www.apprenticeshipindia.gov.in/</x:v>
      </x:c>
      <x:c r="D32" s="14" t="str">
        <x:v>Government opportunities portal</x:v>
      </x:c>
      <x:c r="E32" s="14" t="str">
        <x:v>Tier A</x:v>
      </x:c>
      <x:c r="F32" s="14" t="str">
        <x:v>Apprenticeship courses and current openings</x:v>
      </x:c>
      <x:c r="G32" s="14" t="str">
        <x:v>Treat openings as expiring records</x:v>
      </x:c>
      <x:c r="H32" s="14" t="str">
        <x:v>Weekly / ongoing</x:v>
      </x:c>
      <x:c r="I32" s="14" t="str">
        <x:v>National</x:v>
      </x:c>
    </x:row>
    <x:row r="33">
      <x:c r="A33" s="14" t="str">
        <x:v>NATS</x:v>
      </x:c>
      <x:c r="B33" s="14" t="str">
        <x:v>National Apprenticeship Training Scheme</x:v>
      </x:c>
      <x:c r="C33" s="14" t="str">
        <x:v>https://nats.education.gov.in/</x:v>
      </x:c>
      <x:c r="D33" s="14" t="str">
        <x:v>Government apprenticeship scheme</x:v>
      </x:c>
      <x:c r="E33" s="14" t="str">
        <x:v>Tier A</x:v>
      </x:c>
      <x:c r="F33" s="14" t="str">
        <x:v>Graduate/diploma apprenticeship opportunities</x:v>
      </x:c>
      <x:c r="G33" s="14" t="str">
        <x:v>Store eligibility, duration, stipend and deadline</x:v>
      </x:c>
      <x:c r="H33" s="14" t="str">
        <x:v>Ongoing</x:v>
      </x:c>
      <x:c r="I33" s="14" t="str">
        <x:v>National</x:v>
      </x:c>
    </x:row>
    <x:row r="34">
      <x:c r="A34" s="14" t="str">
        <x:v>AICTE Internship Portal</x:v>
      </x:c>
      <x:c r="B34" s="14" t="str">
        <x:v>AICTE</x:v>
      </x:c>
      <x:c r="C34" s="14" t="str">
        <x:v>https://internship.aicte-india.org/</x:v>
      </x:c>
      <x:c r="D34" s="14" t="str">
        <x:v>Official opportunity portal</x:v>
      </x:c>
      <x:c r="E34" s="14" t="str">
        <x:v>Tier A</x:v>
      </x:c>
      <x:c r="F34" s="14" t="str">
        <x:v>Internship opportunities and initiatives</x:v>
      </x:c>
      <x:c r="G34" s="14" t="str">
        <x:v>Verify active status and provider</x:v>
      </x:c>
      <x:c r="H34" s="14" t="str">
        <x:v>Ongoing</x:v>
      </x:c>
      <x:c r="I34" s="14" t="str">
        <x:v>National</x:v>
      </x:c>
    </x:row>
    <x:row r="35">
      <x:c r="A35" s="14" t="str">
        <x:v>SWAYAM</x:v>
      </x:c>
      <x:c r="B35" s="14" t="str">
        <x:v>Government of India MOOC platform</x:v>
      </x:c>
      <x:c r="C35" s="14" t="str">
        <x:v>https://swayam.gov.in/</x:v>
      </x:c>
      <x:c r="D35" s="14" t="str">
        <x:v>Government learning platform</x:v>
      </x:c>
      <x:c r="E35" s="14" t="str">
        <x:v>Tier A/B</x:v>
      </x:c>
      <x:c r="F35" s="14" t="str">
        <x:v>Course topics, learning content and introductory explanations</x:v>
      </x:c>
      <x:c r="G35" s="14" t="str">
        <x:v>Use for explanation, not degree recognition</x:v>
      </x:c>
      <x:c r="H35" s="14" t="str">
        <x:v>Ongoing</x:v>
      </x:c>
      <x:c r="I35" s="14" t="str">
        <x:v>National</x:v>
      </x:c>
    </x:row>
    <x:row r="36">
      <x:c r="A36" s="14" t="str">
        <x:v>NPTEL</x:v>
      </x:c>
      <x:c r="B36" s="14" t="str">
        <x:v>IITs and IISc online learning</x:v>
      </x:c>
      <x:c r="C36" s="14" t="str">
        <x:v>https://nptel.ac.in/</x:v>
      </x:c>
      <x:c r="D36" s="14" t="str">
        <x:v>Public academic learning platform</x:v>
      </x:c>
      <x:c r="E36" s="14" t="str">
        <x:v>Tier B</x:v>
      </x:c>
      <x:c r="F36" s="14" t="str">
        <x:v>Subject explanations, modules and technical learning pathways</x:v>
      </x:c>
      <x:c r="G36" s="14" t="str">
        <x:v>Useful for content synthesis and prerequisite understanding</x:v>
      </x:c>
      <x:c r="H36" s="14" t="str">
        <x:v>Ongoing</x:v>
      </x:c>
      <x:c r="I36" s="14" t="str">
        <x:v>National</x:v>
      </x:c>
    </x:row>
    <x:row r="37">
      <x:c r="A37" s="14" t="str">
        <x:v>MoSPI / PLFS</x:v>
      </x:c>
      <x:c r="B37" s="14" t="str">
        <x:v>Ministry of Statistics and Programme Implementation</x:v>
      </x:c>
      <x:c r="C37" s="14" t="str">
        <x:v>https://www.mospi.gov.in/</x:v>
      </x:c>
      <x:c r="D37" s="14" t="str">
        <x:v>Official labour statistics</x:v>
      </x:c>
      <x:c r="E37" s="14" t="str">
        <x:v>Tier A</x:v>
      </x:c>
      <x:c r="F37" s="14" t="str">
        <x:v>Labour-force and earnings context</x:v>
      </x:c>
      <x:c r="G37" s="14" t="str">
        <x:v>Not a direct course-placement source; use for broader context</x:v>
      </x:c>
      <x:c r="H37" s="14" t="str">
        <x:v>Annual / periodic</x:v>
      </x:c>
      <x:c r="I37" s="14" t="str">
        <x:v>National</x:v>
      </x:c>
    </x:row>
    <x:row r="38">
      <x:c r="A38" s="14" t="str">
        <x:v>AmbitionBox</x:v>
      </x:c>
      <x:c r="B38" s="14" t="str">
        <x:v>AmbitionBox</x:v>
      </x:c>
      <x:c r="C38" s="14" t="str">
        <x:v>https://www.ambitionbox.com/</x:v>
      </x:c>
      <x:c r="D38" s="14" t="str">
        <x:v>Commercial salary/review portal</x:v>
      </x:c>
      <x:c r="E38" s="14" t="str">
        <x:v>Tier D</x:v>
      </x:c>
      <x:c r="F38" s="14" t="str">
        <x:v>Salary ranges and company reviews</x:v>
      </x:c>
      <x:c r="G38" s="14" t="str">
        <x:v>Use only as secondary estimation with sample size and date</x:v>
      </x:c>
      <x:c r="H38" s="14" t="str">
        <x:v>Rolling</x:v>
      </x:c>
      <x:c r="I38" s="14" t="str">
        <x:v>India</x:v>
      </x:c>
    </x:row>
    <x:row r="39">
      <x:c r="A39" s="14" t="str">
        <x:v>Glassdoor India</x:v>
      </x:c>
      <x:c r="B39" s="14" t="str">
        <x:v>Glassdoor</x:v>
      </x:c>
      <x:c r="C39" s="14" t="str">
        <x:v>https://www.glassdoor.co.in/</x:v>
      </x:c>
      <x:c r="D39" s="14" t="str">
        <x:v>Commercial salary/job portal</x:v>
      </x:c>
      <x:c r="E39" s="14" t="str">
        <x:v>Tier D</x:v>
      </x:c>
      <x:c r="F39" s="14" t="str">
        <x:v>Self-reported salaries, reviews and jobs</x:v>
      </x:c>
      <x:c r="G39" s="14" t="str">
        <x:v>Triangulation only</x:v>
      </x:c>
      <x:c r="H39" s="14" t="str">
        <x:v>Rolling</x:v>
      </x:c>
      <x:c r="I39" s="14" t="str">
        <x:v>India</x:v>
      </x:c>
    </x:row>
    <x:row r="40">
      <x:c r="A40" s="14" t="str">
        <x:v>Indeed India</x:v>
      </x:c>
      <x:c r="B40" s="14" t="str">
        <x:v>Indeed</x:v>
      </x:c>
      <x:c r="C40" s="14" t="str">
        <x:v>https://in.indeed.com/</x:v>
      </x:c>
      <x:c r="D40" s="14" t="str">
        <x:v>Commercial jobs portal</x:v>
      </x:c>
      <x:c r="E40" s="14" t="str">
        <x:v>Tier D</x:v>
      </x:c>
      <x:c r="F40" s="14" t="str">
        <x:v>Job advertisements and salary estimates</x:v>
      </x:c>
      <x:c r="G40" s="14" t="str">
        <x:v>Verify employer and date</x:v>
      </x:c>
      <x:c r="H40" s="14" t="str">
        <x:v>Rolling</x:v>
      </x:c>
      <x:c r="I40" s="14" t="str">
        <x:v>India</x:v>
      </x:c>
    </x:row>
    <x:row r="41">
      <x:c r="A41" s="14" t="str">
        <x:v>Naukri</x:v>
      </x:c>
      <x:c r="B41" s="14" t="str">
        <x:v>Naukri.com</x:v>
      </x:c>
      <x:c r="C41" s="14" t="str">
        <x:v>https://www.naukri.com/</x:v>
      </x:c>
      <x:c r="D41" s="14" t="str">
        <x:v>Commercial jobs portal</x:v>
      </x:c>
      <x:c r="E41" s="14" t="str">
        <x:v>Tier D</x:v>
      </x:c>
      <x:c r="F41" s="14" t="str">
        <x:v>Current job demand, role titles and requirements</x:v>
      </x:c>
      <x:c r="G41" s="14" t="str">
        <x:v>Useful for skill validation; not canonical</x:v>
      </x:c>
      <x:c r="H41" s="14" t="str">
        <x:v>Rolling</x:v>
      </x:c>
      <x:c r="I41" s="14" t="str">
        <x:v>India</x:v>
      </x:c>
    </x:row>
    <x:row r="42">
      <x:c r="A42" s="14" t="str">
        <x:v>LinkedIn Jobs</x:v>
      </x:c>
      <x:c r="B42" s="14" t="str">
        <x:v>LinkedIn</x:v>
      </x:c>
      <x:c r="C42" s="14" t="str">
        <x:v>https://www.linkedin.com/jobs/</x:v>
      </x:c>
      <x:c r="D42" s="14" t="str">
        <x:v>Professional jobs platform</x:v>
      </x:c>
      <x:c r="E42" s="14" t="str">
        <x:v>Tier C/D</x:v>
      </x:c>
      <x:c r="F42" s="14" t="str">
        <x:v>Employer-posted roles and current demand</x:v>
      </x:c>
      <x:c r="G42" s="14" t="str">
        <x:v>Use verified company postings where possible</x:v>
      </x:c>
      <x:c r="H42" s="14" t="str">
        <x:v>Rolling</x:v>
      </x:c>
      <x:c r="I42" s="14" t="str">
        <x:v>India</x:v>
      </x:c>
    </x:row>
    <x:row r="43">
      <x:c r="A43" s="14" t="str">
        <x:v>Shiksha</x:v>
      </x:c>
      <x:c r="B43" s="14" t="str">
        <x:v>Shiksha.com</x:v>
      </x:c>
      <x:c r="C43" s="14" t="str">
        <x:v>https://www.shiksha.com/</x:v>
      </x:c>
      <x:c r="D43" s="14" t="str">
        <x:v>Commercial education portal</x:v>
      </x:c>
      <x:c r="E43" s="14" t="str">
        <x:v>Tier D</x:v>
      </x:c>
      <x:c r="F43" s="14" t="str">
        <x:v>Discovery of courses, colleges, fees, exams and reviews</x:v>
      </x:c>
      <x:c r="G43" s="14" t="str">
        <x:v>Verify factual data against official sources</x:v>
      </x:c>
      <x:c r="H43" s="14" t="str">
        <x:v>Rolling</x:v>
      </x:c>
      <x:c r="I43" s="14" t="str">
        <x:v>India</x:v>
      </x:c>
    </x:row>
    <x:row r="44">
      <x:c r="A44" s="14" t="str">
        <x:v>Careers360</x:v>
      </x:c>
      <x:c r="B44" s="14" t="str">
        <x:v>Careers360</x:v>
      </x:c>
      <x:c r="C44" s="14" t="str">
        <x:v>https://www.careers360.com/</x:v>
      </x:c>
      <x:c r="D44" s="14" t="str">
        <x:v>Commercial education portal</x:v>
      </x:c>
      <x:c r="E44" s="14" t="str">
        <x:v>Tier D</x:v>
      </x:c>
      <x:c r="F44" s="14" t="str">
        <x:v>Course/college/exam discovery and editorial guides</x:v>
      </x:c>
      <x:c r="G44" s="14" t="str">
        <x:v>Discovery and cross-checking only</x:v>
      </x:c>
      <x:c r="H44" s="14" t="str">
        <x:v>Rolling</x:v>
      </x:c>
      <x:c r="I44" s="14" t="str">
        <x:v>India</x:v>
      </x:c>
    </x:row>
    <x:row r="45">
      <x:c r="A45" s="14" t="str">
        <x:v>CollegeDunia</x:v>
      </x:c>
      <x:c r="B45" s="14" t="str">
        <x:v>CollegeDunia</x:v>
      </x:c>
      <x:c r="C45" s="14" t="str">
        <x:v>https://collegedunia.com/</x:v>
      </x:c>
      <x:c r="D45" s="14" t="str">
        <x:v>Commercial education portal</x:v>
      </x:c>
      <x:c r="E45" s="14" t="str">
        <x:v>Tier D</x:v>
      </x:c>
      <x:c r="F45" s="14" t="str">
        <x:v>Course, college, fee and review discovery</x:v>
      </x:c>
      <x:c r="G45" s="14" t="str">
        <x:v>Verify with prospectus and official portals</x:v>
      </x:c>
      <x:c r="H45" s="14" t="str">
        <x:v>Rolling</x:v>
      </x:c>
      <x:c r="I45" s="14" t="str">
        <x:v>India</x:v>
      </x:c>
    </x:row>
  </x:sheetData>
  <x:conditionalFormatting sqref="E2:E45">
    <x:cfRule type="expression" dxfId="1" priority="1">
      <x:formula>LEFT(E2,6)="Tier A"</x:formula>
    </x:cfRule>
    <x:cfRule type="expression" dxfId="2" priority="2">
      <x:formula>LEFT(E2,6)="Tier D"</x:formula>
    </x:cfRule>
    <x:cfRule type="expression" dxfId="3" priority="3">
      <x:formula>LEFT(E2,6)="Tier 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44e458923043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8" hidden="0" customWidth="1"/>
    <x:col min="4" max="4" width="45" hidden="0" customWidth="1"/>
    <x:col min="5" max="5" width="18" hidden="0" customWidth="1"/>
    <x:col min="6" max="6" width="16" hidden="0" customWidth="1"/>
    <x:col min="7" max="7" width="16" hidden="0" customWidth="1"/>
    <x:col min="8" max="8" width="28" hidden="0" customWidth="1"/>
    <x:col min="9" max="9" width="34" hidden="0" customWidth="1"/>
    <x:col min="10" max="10" width="34" hidden="0" customWidth="1"/>
  </x:cols>
  <x:sheetData>
    <x:row r="1">
      <x:c r="A1" s="6" t="str">
        <x:v>Field ID</x:v>
      </x:c>
      <x:c r="B1" s="6" t="str">
        <x:v>Data Segment</x:v>
      </x:c>
      <x:c r="C1" s="6" t="str">
        <x:v>Field Name</x:v>
      </x:c>
      <x:c r="D1" s="6" t="str">
        <x:v>Description</x:v>
      </x:c>
      <x:c r="E1" s="6" t="str">
        <x:v>Data Type</x:v>
      </x:c>
      <x:c r="F1" s="6" t="str">
        <x:v>Required?</x:v>
      </x:c>
      <x:c r="G1" s="6" t="str">
        <x:v>Volatility / Review Risk</x:v>
      </x:c>
      <x:c r="H1" s="6" t="str">
        <x:v>Example</x:v>
      </x:c>
      <x:c r="I1" s="6" t="str">
        <x:v>Primary Key / Relationship Notes</x:v>
      </x:c>
      <x:c r="J1" s="6" t="str">
        <x:v>Validation Notes</x:v>
      </x:c>
    </x:row>
    <x:row r="2">
      <x:c r="A2" s="14" t="str">
        <x:v>F001</x:v>
      </x:c>
      <x:c r="B2" s="14" t="str">
        <x:v>Course Identity</x:v>
      </x:c>
      <x:c r="C2" s="14" t="str">
        <x:v>standard_course_name</x:v>
      </x:c>
      <x:c r="D2" s="14" t="str">
        <x:v>Canonical qualification/course name</x:v>
      </x:c>
      <x:c r="E2" s="14" t="str">
        <x:v>Text</x:v>
      </x:c>
      <x:c r="F2" s="14" t="str">
        <x:v>Yes</x:v>
      </x:c>
      <x:c r="G2" s="14" t="str">
        <x:v>Low</x:v>
      </x:c>
      <x:c r="H2" s="14" t="str">
        <x:v>Bachelor of Technology in Computer Science and Engineering</x:v>
      </x:c>
      <x:c r="I2" s="14" t="str"/>
      <x:c r="J2" s="14" t="str"/>
    </x:row>
    <x:row r="3">
      <x:c r="A3" s="14" t="str">
        <x:v>F002</x:v>
      </x:c>
      <x:c r="B3" s="14" t="str">
        <x:v>Course Identity</x:v>
      </x:c>
      <x:c r="C3" s="14" t="str">
        <x:v>common_course_name</x:v>
      </x:c>
      <x:c r="D3" s="14" t="str">
        <x:v>Commonly used public-facing course name</x:v>
      </x:c>
      <x:c r="E3" s="14" t="str">
        <x:v>Text</x:v>
      </x:c>
      <x:c r="F3" s="14" t="str">
        <x:v>Yes</x:v>
      </x:c>
      <x:c r="G3" s="14" t="str">
        <x:v>Low</x:v>
      </x:c>
      <x:c r="H3" s="14" t="str">
        <x:v>BTech Computer Science</x:v>
      </x:c>
      <x:c r="I3" s="14" t="str"/>
      <x:c r="J3" s="14" t="str"/>
    </x:row>
    <x:row r="4">
      <x:c r="A4" s="14" t="str">
        <x:v>F003</x:v>
      </x:c>
      <x:c r="B4" s="14" t="str">
        <x:v>Course Identity</x:v>
      </x:c>
      <x:c r="C4" s="14" t="str">
        <x:v>abbreviation</x:v>
      </x:c>
      <x:c r="D4" s="14" t="str">
        <x:v>Common abbreviation</x:v>
      </x:c>
      <x:c r="E4" s="14" t="str">
        <x:v>Text</x:v>
      </x:c>
      <x:c r="F4" s="14" t="str">
        <x:v>No</x:v>
      </x:c>
      <x:c r="G4" s="14" t="str">
        <x:v>Low</x:v>
      </x:c>
      <x:c r="H4" s="14" t="str">
        <x:v>BTech CSE</x:v>
      </x:c>
      <x:c r="I4" s="14" t="str"/>
      <x:c r="J4" s="14" t="str"/>
    </x:row>
    <x:row r="5">
      <x:c r="A5" s="14" t="str">
        <x:v>F004</x:v>
      </x:c>
      <x:c r="B5" s="14" t="str">
        <x:v>Course Identity</x:v>
      </x:c>
      <x:c r="C5" s="14" t="str">
        <x:v>qualification_level</x:v>
      </x:c>
      <x:c r="D5" s="14" t="str">
        <x:v>UG, PG, diploma, certificate, doctoral, etc.</x:v>
      </x:c>
      <x:c r="E5" s="14" t="str">
        <x:v>Category</x:v>
      </x:c>
      <x:c r="F5" s="14" t="str">
        <x:v>Yes</x:v>
      </x:c>
      <x:c r="G5" s="14" t="str">
        <x:v>Low</x:v>
      </x:c>
      <x:c r="H5" s="14" t="str">
        <x:v>Undergraduate</x:v>
      </x:c>
      <x:c r="I5" s="14" t="str"/>
      <x:c r="J5" s="14" t="str"/>
    </x:row>
    <x:row r="6">
      <x:c r="A6" s="14" t="str">
        <x:v>F005</x:v>
      </x:c>
      <x:c r="B6" s="14" t="str">
        <x:v>Course Identity</x:v>
      </x:c>
      <x:c r="C6" s="14" t="str">
        <x:v>qualification_type</x:v>
      </x:c>
      <x:c r="D6" s="14" t="str">
        <x:v>Degree/diploma/certificate/qualification type</x:v>
      </x:c>
      <x:c r="E6" s="14" t="str">
        <x:v>Category</x:v>
      </x:c>
      <x:c r="F6" s="14" t="str">
        <x:v>Yes</x:v>
      </x:c>
      <x:c r="G6" s="14" t="str">
        <x:v>Low</x:v>
      </x:c>
      <x:c r="H6" s="14" t="str">
        <x:v>Bachelor's degree</x:v>
      </x:c>
      <x:c r="I6" s="14" t="str"/>
      <x:c r="J6" s="14" t="str"/>
    </x:row>
    <x:row r="7">
      <x:c r="A7" s="14" t="str">
        <x:v>F006</x:v>
      </x:c>
      <x:c r="B7" s="14" t="str">
        <x:v>Course Identity</x:v>
      </x:c>
      <x:c r="C7" s="14" t="str">
        <x:v>academic_or_vocational</x:v>
      </x:c>
      <x:c r="D7" s="14" t="str">
        <x:v>Academic, vocational, professional or hybrid</x:v>
      </x:c>
      <x:c r="E7" s="14" t="str">
        <x:v>Category</x:v>
      </x:c>
      <x:c r="F7" s="14" t="str">
        <x:v>Yes</x:v>
      </x:c>
      <x:c r="G7" s="14" t="str">
        <x:v>Low</x:v>
      </x:c>
      <x:c r="H7" s="14" t="str">
        <x:v>Academic</x:v>
      </x:c>
      <x:c r="I7" s="14" t="str"/>
      <x:c r="J7" s="14" t="str"/>
    </x:row>
    <x:row r="8">
      <x:c r="A8" s="14" t="str">
        <x:v>F007</x:v>
      </x:c>
      <x:c r="B8" s="14" t="str">
        <x:v>Course Identity</x:v>
      </x:c>
      <x:c r="C8" s="14" t="str">
        <x:v>regulating_body</x:v>
      </x:c>
      <x:c r="D8" s="14" t="str">
        <x:v>Primary statutory or approving authority</x:v>
      </x:c>
      <x:c r="E8" s="14" t="str">
        <x:v>Reference</x:v>
      </x:c>
      <x:c r="F8" s="14" t="str">
        <x:v>Yes</x:v>
      </x:c>
      <x:c r="G8" s="14" t="str">
        <x:v>Medium</x:v>
      </x:c>
      <x:c r="H8" s="14" t="str">
        <x:v>UGC / AICTE</x:v>
      </x:c>
      <x:c r="I8" s="14" t="str"/>
      <x:c r="J8" s="14" t="str"/>
    </x:row>
    <x:row r="9">
      <x:c r="A9" s="14" t="str">
        <x:v>F008</x:v>
      </x:c>
      <x:c r="B9" s="14" t="str">
        <x:v>Course Identity</x:v>
      </x:c>
      <x:c r="C9" s="14" t="str">
        <x:v>course_aliases</x:v>
      </x:c>
      <x:c r="D9" s="14" t="str">
        <x:v>Alternative names and local naming variants</x:v>
      </x:c>
      <x:c r="E9" s="14" t="str">
        <x:v>Multi-value</x:v>
      </x:c>
      <x:c r="F9" s="14" t="str">
        <x:v>No</x:v>
      </x:c>
      <x:c r="G9" s="14" t="str">
        <x:v>Low</x:v>
      </x:c>
      <x:c r="H9" s="14" t="str">
        <x:v>Computer Engineering; CSE</x:v>
      </x:c>
      <x:c r="I9" s="14" t="str"/>
      <x:c r="J9" s="14" t="str"/>
    </x:row>
    <x:row r="10">
      <x:c r="A10" s="14" t="str">
        <x:v>F009</x:v>
      </x:c>
      <x:c r="B10" s="14" t="str">
        <x:v>Duration &amp; Mode</x:v>
      </x:c>
      <x:c r="C10" s="14" t="str">
        <x:v>minimum_duration</x:v>
      </x:c>
      <x:c r="D10" s="14" t="str">
        <x:v>Minimum completion time</x:v>
      </x:c>
      <x:c r="E10" s="14" t="str">
        <x:v>Number + unit</x:v>
      </x:c>
      <x:c r="F10" s="14" t="str">
        <x:v>Yes</x:v>
      </x:c>
      <x:c r="G10" s="14" t="str">
        <x:v>Medium</x:v>
      </x:c>
      <x:c r="H10" s="14" t="str">
        <x:v>3 years</x:v>
      </x:c>
      <x:c r="I10" s="14" t="str"/>
      <x:c r="J10" s="14" t="str"/>
    </x:row>
    <x:row r="11">
      <x:c r="A11" s="14" t="str">
        <x:v>F010</x:v>
      </x:c>
      <x:c r="B11" s="14" t="str">
        <x:v>Duration &amp; Mode</x:v>
      </x:c>
      <x:c r="C11" s="14" t="str">
        <x:v>maximum_duration</x:v>
      </x:c>
      <x:c r="D11" s="14" t="str">
        <x:v>Maximum permitted completion time</x:v>
      </x:c>
      <x:c r="E11" s="14" t="str">
        <x:v>Number + unit</x:v>
      </x:c>
      <x:c r="F11" s="14" t="str">
        <x:v>No</x:v>
      </x:c>
      <x:c r="G11" s="14" t="str">
        <x:v>Medium</x:v>
      </x:c>
      <x:c r="H11" s="14" t="str">
        <x:v>6 years</x:v>
      </x:c>
      <x:c r="I11" s="14" t="str"/>
      <x:c r="J11" s="14" t="str"/>
    </x:row>
    <x:row r="12">
      <x:c r="A12" s="14" t="str">
        <x:v>F011</x:v>
      </x:c>
      <x:c r="B12" s="14" t="str">
        <x:v>Duration &amp; Mode</x:v>
      </x:c>
      <x:c r="C12" s="14" t="str">
        <x:v>semester_count</x:v>
      </x:c>
      <x:c r="D12" s="14" t="str">
        <x:v>Typical number of semesters</x:v>
      </x:c>
      <x:c r="E12" s="14" t="str">
        <x:v>Integer</x:v>
      </x:c>
      <x:c r="F12" s="14" t="str">
        <x:v>No</x:v>
      </x:c>
      <x:c r="G12" s="14" t="str">
        <x:v>Medium</x:v>
      </x:c>
      <x:c r="H12" s="14" t="str">
        <x:v>6</x:v>
      </x:c>
      <x:c r="I12" s="14" t="str"/>
      <x:c r="J12" s="14" t="str"/>
    </x:row>
    <x:row r="13">
      <x:c r="A13" s="14" t="str">
        <x:v>F012</x:v>
      </x:c>
      <x:c r="B13" s="14" t="str">
        <x:v>Duration &amp; Mode</x:v>
      </x:c>
      <x:c r="C13" s="14" t="str">
        <x:v>credit_count</x:v>
      </x:c>
      <x:c r="D13" s="14" t="str">
        <x:v>Required academic credits</x:v>
      </x:c>
      <x:c r="E13" s="14" t="str">
        <x:v>Integer</x:v>
      </x:c>
      <x:c r="F13" s="14" t="str">
        <x:v>No</x:v>
      </x:c>
      <x:c r="G13" s="14" t="str">
        <x:v>Medium</x:v>
      </x:c>
      <x:c r="H13" s="14" t="str">
        <x:v>120</x:v>
      </x:c>
      <x:c r="I13" s="14" t="str"/>
      <x:c r="J13" s="14" t="str"/>
    </x:row>
    <x:row r="14">
      <x:c r="A14" s="14" t="str">
        <x:v>F013</x:v>
      </x:c>
      <x:c r="B14" s="14" t="str">
        <x:v>Duration &amp; Mode</x:v>
      </x:c>
      <x:c r="C14" s="14" t="str">
        <x:v>study_mode</x:v>
      </x:c>
      <x:c r="D14" s="14" t="str">
        <x:v>Regular, online, distance, blended, etc.</x:v>
      </x:c>
      <x:c r="E14" s="14" t="str">
        <x:v>Category</x:v>
      </x:c>
      <x:c r="F14" s="14" t="str">
        <x:v>Yes</x:v>
      </x:c>
      <x:c r="G14" s="14" t="str">
        <x:v>High</x:v>
      </x:c>
      <x:c r="H14" s="14" t="str">
        <x:v>Regular</x:v>
      </x:c>
      <x:c r="I14" s="14" t="str"/>
      <x:c r="J14" s="14" t="str"/>
    </x:row>
    <x:row r="15">
      <x:c r="A15" s="14" t="str">
        <x:v>F014</x:v>
      </x:c>
      <x:c r="B15" s="14" t="str">
        <x:v>Duration &amp; Mode</x:v>
      </x:c>
      <x:c r="C15" s="14" t="str">
        <x:v>full_time_available</x:v>
      </x:c>
      <x:c r="D15" s="14" t="str">
        <x:v>Whether full-time delivery is available</x:v>
      </x:c>
      <x:c r="E15" s="14" t="str">
        <x:v>Boolean</x:v>
      </x:c>
      <x:c r="F15" s="14" t="str">
        <x:v>No</x:v>
      </x:c>
      <x:c r="G15" s="14" t="str">
        <x:v>High</x:v>
      </x:c>
      <x:c r="H15" s="14" t="str">
        <x:v>TRUE</x:v>
      </x:c>
      <x:c r="I15" s="14" t="str"/>
      <x:c r="J15" s="14" t="str"/>
    </x:row>
    <x:row r="16">
      <x:c r="A16" s="14" t="str">
        <x:v>F015</x:v>
      </x:c>
      <x:c r="B16" s="14" t="str">
        <x:v>Duration &amp; Mode</x:v>
      </x:c>
      <x:c r="C16" s="14" t="str">
        <x:v>part_time_available</x:v>
      </x:c>
      <x:c r="D16" s="14" t="str">
        <x:v>Whether part-time delivery is available</x:v>
      </x:c>
      <x:c r="E16" s="14" t="str">
        <x:v>Boolean</x:v>
      </x:c>
      <x:c r="F16" s="14" t="str">
        <x:v>No</x:v>
      </x:c>
      <x:c r="G16" s="14" t="str">
        <x:v>High</x:v>
      </x:c>
      <x:c r="H16" s="14" t="str">
        <x:v>FALSE</x:v>
      </x:c>
      <x:c r="I16" s="14" t="str"/>
      <x:c r="J16" s="14" t="str"/>
    </x:row>
    <x:row r="17">
      <x:c r="A17" s="14" t="str">
        <x:v>F016</x:v>
      </x:c>
      <x:c r="B17" s="14" t="str">
        <x:v>Duration &amp; Mode</x:v>
      </x:c>
      <x:c r="C17" s="14" t="str">
        <x:v>online_available</x:v>
      </x:c>
      <x:c r="D17" s="14" t="str">
        <x:v>Whether an approved online option exists</x:v>
      </x:c>
      <x:c r="E17" s="14" t="str">
        <x:v>Boolean</x:v>
      </x:c>
      <x:c r="F17" s="14" t="str">
        <x:v>No</x:v>
      </x:c>
      <x:c r="G17" s="14" t="str">
        <x:v>High</x:v>
      </x:c>
      <x:c r="H17" s="14" t="str">
        <x:v>TRUE</x:v>
      </x:c>
      <x:c r="I17" s="14" t="str"/>
      <x:c r="J17" s="14" t="str"/>
    </x:row>
    <x:row r="18">
      <x:c r="A18" s="14" t="str">
        <x:v>F017</x:v>
      </x:c>
      <x:c r="B18" s="14" t="str">
        <x:v>Duration &amp; Mode</x:v>
      </x:c>
      <x:c r="C18" s="14" t="str">
        <x:v>distance_available</x:v>
      </x:c>
      <x:c r="D18" s="14" t="str">
        <x:v>Whether an approved ODL option exists</x:v>
      </x:c>
      <x:c r="E18" s="14" t="str">
        <x:v>Boolean</x:v>
      </x:c>
      <x:c r="F18" s="14" t="str">
        <x:v>No</x:v>
      </x:c>
      <x:c r="G18" s="14" t="str">
        <x:v>High</x:v>
      </x:c>
      <x:c r="H18" s="14" t="str">
        <x:v>FALSE</x:v>
      </x:c>
      <x:c r="I18" s="14" t="str"/>
      <x:c r="J18" s="14" t="str"/>
    </x:row>
    <x:row r="19">
      <x:c r="A19" s="14" t="str">
        <x:v>F018</x:v>
      </x:c>
      <x:c r="B19" s="14" t="str">
        <x:v>Duration &amp; Mode</x:v>
      </x:c>
      <x:c r="C19" s="14" t="str">
        <x:v>exit_options</x:v>
      </x:c>
      <x:c r="D19" s="14" t="str">
        <x:v>Approved multiple-entry/exit awards</x:v>
      </x:c>
      <x:c r="E19" s="14" t="str">
        <x:v>Multi-value</x:v>
      </x:c>
      <x:c r="F19" s="14" t="str">
        <x:v>No</x:v>
      </x:c>
      <x:c r="G19" s="14" t="str">
        <x:v>High</x:v>
      </x:c>
      <x:c r="H19" s="14" t="str">
        <x:v>Certificate after Year 1</x:v>
      </x:c>
      <x:c r="I19" s="14" t="str"/>
      <x:c r="J19" s="14" t="str"/>
    </x:row>
    <x:row r="20">
      <x:c r="A20" s="14" t="str">
        <x:v>F019</x:v>
      </x:c>
      <x:c r="B20" s="14" t="str">
        <x:v>Eligibility</x:v>
      </x:c>
      <x:c r="C20" s="14" t="str">
        <x:v>minimum_qualification</x:v>
      </x:c>
      <x:c r="D20" s="14" t="str">
        <x:v>Minimum prior qualification</x:v>
      </x:c>
      <x:c r="E20" s="14" t="str">
        <x:v>Text</x:v>
      </x:c>
      <x:c r="F20" s="14" t="str">
        <x:v>Yes</x:v>
      </x:c>
      <x:c r="G20" s="14" t="str">
        <x:v>High</x:v>
      </x:c>
      <x:c r="H20" s="14" t="str">
        <x:v>Class 12 or equivalent</x:v>
      </x:c>
      <x:c r="I20" s="14" t="str"/>
      <x:c r="J20" s="14" t="str"/>
    </x:row>
    <x:row r="21">
      <x:c r="A21" s="14" t="str">
        <x:v>F020</x:v>
      </x:c>
      <x:c r="B21" s="14" t="str">
        <x:v>Eligibility</x:v>
      </x:c>
      <x:c r="C21" s="14" t="str">
        <x:v>accepted_streams</x:v>
      </x:c>
      <x:c r="D21" s="14" t="str">
        <x:v>Eligible school streams</x:v>
      </x:c>
      <x:c r="E21" s="14" t="str">
        <x:v>Multi-value</x:v>
      </x:c>
      <x:c r="F21" s="14" t="str">
        <x:v>Yes</x:v>
      </x:c>
      <x:c r="G21" s="14" t="str">
        <x:v>High</x:v>
      </x:c>
      <x:c r="H21" s="14" t="str">
        <x:v>Science; Commerce; Humanities</x:v>
      </x:c>
      <x:c r="I21" s="14" t="str"/>
      <x:c r="J21" s="14" t="str"/>
    </x:row>
    <x:row r="22">
      <x:c r="A22" s="14" t="str">
        <x:v>F021</x:v>
      </x:c>
      <x:c r="B22" s="14" t="str">
        <x:v>Eligibility</x:v>
      </x:c>
      <x:c r="C22" s="14" t="str">
        <x:v>compulsory_subjects</x:v>
      </x:c>
      <x:c r="D22" s="14" t="str">
        <x:v>Subjects that must have been studied</x:v>
      </x:c>
      <x:c r="E22" s="14" t="str">
        <x:v>Multi-value</x:v>
      </x:c>
      <x:c r="F22" s="14" t="str">
        <x:v>No</x:v>
      </x:c>
      <x:c r="G22" s="14" t="str">
        <x:v>High</x:v>
      </x:c>
      <x:c r="H22" s="14" t="str">
        <x:v>Physics; Chemistry; Mathematics</x:v>
      </x:c>
      <x:c r="I22" s="14" t="str"/>
      <x:c r="J22" s="14" t="str"/>
    </x:row>
    <x:row r="23">
      <x:c r="A23" s="14" t="str">
        <x:v>F022</x:v>
      </x:c>
      <x:c r="B23" s="14" t="str">
        <x:v>Eligibility</x:v>
      </x:c>
      <x:c r="C23" s="14" t="str">
        <x:v>recommended_subjects</x:v>
      </x:c>
      <x:c r="D23" s="14" t="str">
        <x:v>Helpful but non-mandatory subjects</x:v>
      </x:c>
      <x:c r="E23" s="14" t="str">
        <x:v>Multi-value</x:v>
      </x:c>
      <x:c r="F23" s="14" t="str">
        <x:v>No</x:v>
      </x:c>
      <x:c r="G23" s="14" t="str">
        <x:v>Medium</x:v>
      </x:c>
      <x:c r="H23" s="14" t="str">
        <x:v>Psychology; Biology</x:v>
      </x:c>
      <x:c r="I23" s="14" t="str"/>
      <x:c r="J23" s="14" t="str"/>
    </x:row>
    <x:row r="24">
      <x:c r="A24" s="14" t="str">
        <x:v>F023</x:v>
      </x:c>
      <x:c r="B24" s="14" t="str">
        <x:v>Eligibility</x:v>
      </x:c>
      <x:c r="C24" s="14" t="str">
        <x:v>minimum_percentage</x:v>
      </x:c>
      <x:c r="D24" s="14" t="str">
        <x:v>Minimum aggregate or subject marks</x:v>
      </x:c>
      <x:c r="E24" s="14" t="str">
        <x:v>Number/rule</x:v>
      </x:c>
      <x:c r="F24" s="14" t="str">
        <x:v>No</x:v>
      </x:c>
      <x:c r="G24" s="14" t="str">
        <x:v>High</x:v>
      </x:c>
      <x:c r="H24" s="14" t="str">
        <x:v>50%</x:v>
      </x:c>
      <x:c r="I24" s="14" t="str"/>
      <x:c r="J24" s="14" t="str"/>
    </x:row>
    <x:row r="25">
      <x:c r="A25" s="14" t="str">
        <x:v>F024</x:v>
      </x:c>
      <x:c r="B25" s="14" t="str">
        <x:v>Eligibility</x:v>
      </x:c>
      <x:c r="C25" s="14" t="str">
        <x:v>age_requirement</x:v>
      </x:c>
      <x:c r="D25" s="14" t="str">
        <x:v>Minimum/maximum age rule</x:v>
      </x:c>
      <x:c r="E25" s="14" t="str">
        <x:v>Rule</x:v>
      </x:c>
      <x:c r="F25" s="14" t="str">
        <x:v>No</x:v>
      </x:c>
      <x:c r="G25" s="14" t="str">
        <x:v>High</x:v>
      </x:c>
      <x:c r="H25" s="14" t="str">
        <x:v>17 years by 31 Dec</x:v>
      </x:c>
      <x:c r="I25" s="14" t="str"/>
      <x:c r="J25" s="14" t="str"/>
    </x:row>
    <x:row r="26">
      <x:c r="A26" s="14" t="str">
        <x:v>F025</x:v>
      </x:c>
      <x:c r="B26" s="14" t="str">
        <x:v>Eligibility</x:v>
      </x:c>
      <x:c r="C26" s="14" t="str">
        <x:v>medical_requirement</x:v>
      </x:c>
      <x:c r="D26" s="14" t="str">
        <x:v>Required medical/physical standards</x:v>
      </x:c>
      <x:c r="E26" s="14" t="str">
        <x:v>Text</x:v>
      </x:c>
      <x:c r="F26" s="14" t="str">
        <x:v>No</x:v>
      </x:c>
      <x:c r="G26" s="14" t="str">
        <x:v>High</x:v>
      </x:c>
      <x:c r="H26" s="14" t="str">
        <x:v>Medical fitness certificate</x:v>
      </x:c>
      <x:c r="I26" s="14" t="str"/>
      <x:c r="J26" s="14" t="str"/>
    </x:row>
    <x:row r="27">
      <x:c r="A27" s="14" t="str">
        <x:v>F026</x:v>
      </x:c>
      <x:c r="B27" s="14" t="str">
        <x:v>Eligibility</x:v>
      </x:c>
      <x:c r="C27" s="14" t="str">
        <x:v>portfolio_required</x:v>
      </x:c>
      <x:c r="D27" s="14" t="str">
        <x:v>Whether a portfolio is required</x:v>
      </x:c>
      <x:c r="E27" s="14" t="str">
        <x:v>Boolean</x:v>
      </x:c>
      <x:c r="F27" s="14" t="str">
        <x:v>No</x:v>
      </x:c>
      <x:c r="G27" s="14" t="str">
        <x:v>High</x:v>
      </x:c>
      <x:c r="H27" s="14" t="str">
        <x:v>FALSE</x:v>
      </x:c>
      <x:c r="I27" s="14" t="str"/>
      <x:c r="J27" s="14" t="str"/>
    </x:row>
    <x:row r="28">
      <x:c r="A28" s="14" t="str">
        <x:v>F027</x:v>
      </x:c>
      <x:c r="B28" s="14" t="str">
        <x:v>Eligibility</x:v>
      </x:c>
      <x:c r="C28" s="14" t="str">
        <x:v>interview_required</x:v>
      </x:c>
      <x:c r="D28" s="14" t="str">
        <x:v>Whether an interview is required</x:v>
      </x:c>
      <x:c r="E28" s="14" t="str">
        <x:v>Boolean</x:v>
      </x:c>
      <x:c r="F28" s="14" t="str">
        <x:v>No</x:v>
      </x:c>
      <x:c r="G28" s="14" t="str">
        <x:v>High</x:v>
      </x:c>
      <x:c r="H28" s="14" t="str">
        <x:v>TRUE</x:v>
      </x:c>
      <x:c r="I28" s="14" t="str"/>
      <x:c r="J28" s="14" t="str"/>
    </x:row>
    <x:row r="29">
      <x:c r="A29" s="14" t="str">
        <x:v>F028</x:v>
      </x:c>
      <x:c r="B29" s="14" t="str">
        <x:v>Eligibility</x:v>
      </x:c>
      <x:c r="C29" s="14" t="str">
        <x:v>lateral_entry_available</x:v>
      </x:c>
      <x:c r="D29" s="14" t="str">
        <x:v>Whether lateral entry is available</x:v>
      </x:c>
      <x:c r="E29" s="14" t="str">
        <x:v>Boolean</x:v>
      </x:c>
      <x:c r="F29" s="14" t="str">
        <x:v>No</x:v>
      </x:c>
      <x:c r="G29" s="14" t="str">
        <x:v>High</x:v>
      </x:c>
      <x:c r="H29" s="14" t="str">
        <x:v>TRUE</x:v>
      </x:c>
      <x:c r="I29" s="14" t="str"/>
      <x:c r="J29" s="14" t="str"/>
    </x:row>
    <x:row r="30">
      <x:c r="A30" s="14" t="str">
        <x:v>F029</x:v>
      </x:c>
      <x:c r="B30" s="14" t="str">
        <x:v>Eligibility</x:v>
      </x:c>
      <x:c r="C30" s="14" t="str">
        <x:v>international_equivalence</x:v>
      </x:c>
      <x:c r="D30" s="14" t="str">
        <x:v>Accepted international board/equivalence rules</x:v>
      </x:c>
      <x:c r="E30" s="14" t="str">
        <x:v>Text</x:v>
      </x:c>
      <x:c r="F30" s="14" t="str">
        <x:v>No</x:v>
      </x:c>
      <x:c r="G30" s="14" t="str">
        <x:v>High</x:v>
      </x:c>
      <x:c r="H30" s="14" t="str">
        <x:v>IB/A-level equivalence</x:v>
      </x:c>
      <x:c r="I30" s="14" t="str"/>
      <x:c r="J30" s="14" t="str"/>
    </x:row>
    <x:row r="31">
      <x:c r="A31" s="14" t="str">
        <x:v>F030</x:v>
      </x:c>
      <x:c r="B31" s="14" t="str">
        <x:v>Eligibility</x:v>
      </x:c>
      <x:c r="C31" s="14" t="str">
        <x:v>eligibility_year</x:v>
      </x:c>
      <x:c r="D31" s="14" t="str">
        <x:v>Admission year for which the rule applies</x:v>
      </x:c>
      <x:c r="E31" s="14" t="str">
        <x:v>Year</x:v>
      </x:c>
      <x:c r="F31" s="14" t="str">
        <x:v>Yes</x:v>
      </x:c>
      <x:c r="G31" s="14" t="str">
        <x:v>High</x:v>
      </x:c>
      <x:c r="H31" s="14" t="str">
        <x:v>2026</x:v>
      </x:c>
      <x:c r="I31" s="14" t="str"/>
      <x:c r="J31" s="14" t="str"/>
    </x:row>
    <x:row r="32">
      <x:c r="A32" s="14" t="str">
        <x:v>F031</x:v>
      </x:c>
      <x:c r="B32" s="14" t="str">
        <x:v>Entrance &amp; Admission</x:v>
      </x:c>
      <x:c r="C32" s="14" t="str">
        <x:v>exam_name</x:v>
      </x:c>
      <x:c r="D32" s="14" t="str">
        <x:v>Entrance examination name</x:v>
      </x:c>
      <x:c r="E32" s="14" t="str">
        <x:v>Reference</x:v>
      </x:c>
      <x:c r="F32" s="14" t="str">
        <x:v>No</x:v>
      </x:c>
      <x:c r="G32" s="14" t="str">
        <x:v>High</x:v>
      </x:c>
      <x:c r="H32" s="14" t="str">
        <x:v>CUET-UG</x:v>
      </x:c>
      <x:c r="I32" s="14" t="str"/>
      <x:c r="J32" s="14" t="str"/>
    </x:row>
    <x:row r="33">
      <x:c r="A33" s="14" t="str">
        <x:v>F032</x:v>
      </x:c>
      <x:c r="B33" s="14" t="str">
        <x:v>Entrance &amp; Admission</x:v>
      </x:c>
      <x:c r="C33" s="14" t="str">
        <x:v>exam_year</x:v>
      </x:c>
      <x:c r="D33" s="14" t="str">
        <x:v>Exam/admission cycle year</x:v>
      </x:c>
      <x:c r="E33" s="14" t="str">
        <x:v>Year</x:v>
      </x:c>
      <x:c r="F33" s="14" t="str">
        <x:v>Yes</x:v>
      </x:c>
      <x:c r="G33" s="14" t="str">
        <x:v>High</x:v>
      </x:c>
      <x:c r="H33" s="14" t="str">
        <x:v>2026</x:v>
      </x:c>
      <x:c r="I33" s="14" t="str"/>
      <x:c r="J33" s="14" t="str"/>
    </x:row>
    <x:row r="34">
      <x:c r="A34" s="14" t="str">
        <x:v>F033</x:v>
      </x:c>
      <x:c r="B34" s="14" t="str">
        <x:v>Entrance &amp; Admission</x:v>
      </x:c>
      <x:c r="C34" s="14" t="str">
        <x:v>conducting_body</x:v>
      </x:c>
      <x:c r="D34" s="14" t="str">
        <x:v>Official exam authority</x:v>
      </x:c>
      <x:c r="E34" s="14" t="str">
        <x:v>Reference</x:v>
      </x:c>
      <x:c r="F34" s="14" t="str">
        <x:v>No</x:v>
      </x:c>
      <x:c r="G34" s="14" t="str">
        <x:v>High</x:v>
      </x:c>
      <x:c r="H34" s="14" t="str">
        <x:v>NTA</x:v>
      </x:c>
      <x:c r="I34" s="14" t="str"/>
      <x:c r="J34" s="14" t="str"/>
    </x:row>
    <x:row r="35">
      <x:c r="A35" s="14" t="str">
        <x:v>F034</x:v>
      </x:c>
      <x:c r="B35" s="14" t="str">
        <x:v>Entrance &amp; Admission</x:v>
      </x:c>
      <x:c r="C35" s="14" t="str">
        <x:v>applicable_courses</x:v>
      </x:c>
      <x:c r="D35" s="14" t="str">
        <x:v>Courses for which the exam is used</x:v>
      </x:c>
      <x:c r="E35" s="14" t="str">
        <x:v>Multi-reference</x:v>
      </x:c>
      <x:c r="F35" s="14" t="str">
        <x:v>No</x:v>
      </x:c>
      <x:c r="G35" s="14" t="str">
        <x:v>High</x:v>
      </x:c>
      <x:c r="H35" s="14" t="str">
        <x:v>BA Psychology</x:v>
      </x:c>
      <x:c r="I35" s="14" t="str"/>
      <x:c r="J35" s="14" t="str"/>
    </x:row>
    <x:row r="36">
      <x:c r="A36" s="14" t="str">
        <x:v>F035</x:v>
      </x:c>
      <x:c r="B36" s="14" t="str">
        <x:v>Entrance &amp; Admission</x:v>
      </x:c>
      <x:c r="C36" s="14" t="str">
        <x:v>applicable_institutions</x:v>
      </x:c>
      <x:c r="D36" s="14" t="str">
        <x:v>Institutions participating in the route</x:v>
      </x:c>
      <x:c r="E36" s="14" t="str">
        <x:v>Multi-reference</x:v>
      </x:c>
      <x:c r="F36" s="14" t="str">
        <x:v>No</x:v>
      </x:c>
      <x:c r="G36" s="14" t="str">
        <x:v>High</x:v>
      </x:c>
      <x:c r="H36" s="14" t="str">
        <x:v>Participating central universities</x:v>
      </x:c>
      <x:c r="I36" s="14" t="str"/>
      <x:c r="J36" s="14" t="str"/>
    </x:row>
    <x:row r="37">
      <x:c r="A37" s="14" t="str">
        <x:v>F036</x:v>
      </x:c>
      <x:c r="B37" s="14" t="str">
        <x:v>Entrance &amp; Admission</x:v>
      </x:c>
      <x:c r="C37" s="14" t="str">
        <x:v>application_start</x:v>
      </x:c>
      <x:c r="D37" s="14" t="str">
        <x:v>Application opening date</x:v>
      </x:c>
      <x:c r="E37" s="14" t="str">
        <x:v>Date</x:v>
      </x:c>
      <x:c r="F37" s="14" t="str">
        <x:v>No</x:v>
      </x:c>
      <x:c r="G37" s="14" t="str">
        <x:v>High</x:v>
      </x:c>
      <x:c r="H37" s="14" t="str">
        <x:v>2026-03-01</x:v>
      </x:c>
      <x:c r="I37" s="14" t="str"/>
      <x:c r="J37" s="14" t="str"/>
    </x:row>
    <x:row r="38">
      <x:c r="A38" s="14" t="str">
        <x:v>F037</x:v>
      </x:c>
      <x:c r="B38" s="14" t="str">
        <x:v>Entrance &amp; Admission</x:v>
      </x:c>
      <x:c r="C38" s="14" t="str">
        <x:v>application_end</x:v>
      </x:c>
      <x:c r="D38" s="14" t="str">
        <x:v>Application closing date</x:v>
      </x:c>
      <x:c r="E38" s="14" t="str">
        <x:v>Date</x:v>
      </x:c>
      <x:c r="F38" s="14" t="str">
        <x:v>No</x:v>
      </x:c>
      <x:c r="G38" s="14" t="str">
        <x:v>High</x:v>
      </x:c>
      <x:c r="H38" s="14" t="str">
        <x:v>2026-03-30</x:v>
      </x:c>
      <x:c r="I38" s="14" t="str"/>
      <x:c r="J38" s="14" t="str"/>
    </x:row>
    <x:row r="39">
      <x:c r="A39" s="14" t="str">
        <x:v>F038</x:v>
      </x:c>
      <x:c r="B39" s="14" t="str">
        <x:v>Entrance &amp; Admission</x:v>
      </x:c>
      <x:c r="C39" s="14" t="str">
        <x:v>exam_date</x:v>
      </x:c>
      <x:c r="D39" s="14" t="str">
        <x:v>Scheduled examination date</x:v>
      </x:c>
      <x:c r="E39" s="14" t="str">
        <x:v>Date/range</x:v>
      </x:c>
      <x:c r="F39" s="14" t="str">
        <x:v>No</x:v>
      </x:c>
      <x:c r="G39" s="14" t="str">
        <x:v>High</x:v>
      </x:c>
      <x:c r="H39" s="14" t="str">
        <x:v>May 2026</x:v>
      </x:c>
      <x:c r="I39" s="14" t="str"/>
      <x:c r="J39" s="14" t="str"/>
    </x:row>
    <x:row r="40">
      <x:c r="A40" s="14" t="str">
        <x:v>F039</x:v>
      </x:c>
      <x:c r="B40" s="14" t="str">
        <x:v>Entrance &amp; Admission</x:v>
      </x:c>
      <x:c r="C40" s="14" t="str">
        <x:v>counselling_body</x:v>
      </x:c>
      <x:c r="D40" s="14" t="str">
        <x:v>Authority conducting allocation/counselling</x:v>
      </x:c>
      <x:c r="E40" s="14" t="str">
        <x:v>Reference</x:v>
      </x:c>
      <x:c r="F40" s="14" t="str">
        <x:v>No</x:v>
      </x:c>
      <x:c r="G40" s="14" t="str">
        <x:v>High</x:v>
      </x:c>
      <x:c r="H40" s="14" t="str">
        <x:v>JoSAA</x:v>
      </x:c>
      <x:c r="I40" s="14" t="str"/>
      <x:c r="J40" s="14" t="str"/>
    </x:row>
    <x:row r="41">
      <x:c r="A41" s="14" t="str">
        <x:v>F040</x:v>
      </x:c>
      <x:c r="B41" s="14" t="str">
        <x:v>Entrance &amp; Admission</x:v>
      </x:c>
      <x:c r="C41" s="14" t="str">
        <x:v>official_information_bulletin</x:v>
      </x:c>
      <x:c r="D41" s="14" t="str">
        <x:v>Official bulletin URL/document</x:v>
      </x:c>
      <x:c r="E41" s="14" t="str">
        <x:v>URL/reference</x:v>
      </x:c>
      <x:c r="F41" s="14" t="str">
        <x:v>Yes</x:v>
      </x:c>
      <x:c r="G41" s="14" t="str">
        <x:v>High</x:v>
      </x:c>
      <x:c r="H41" s="14" t="str">
        <x:v>Official PDF URL</x:v>
      </x:c>
      <x:c r="I41" s="14" t="str"/>
      <x:c r="J41" s="14" t="str"/>
    </x:row>
    <x:row r="42">
      <x:c r="A42" s="14" t="str">
        <x:v>F041</x:v>
      </x:c>
      <x:c r="B42" s="14" t="str">
        <x:v>Curriculum</x:v>
      </x:c>
      <x:c r="C42" s="14" t="str">
        <x:v>foundation_subjects</x:v>
      </x:c>
      <x:c r="D42" s="14" t="str">
        <x:v>Introductory/foundation subjects</x:v>
      </x:c>
      <x:c r="E42" s="14" t="str">
        <x:v>Multi-reference</x:v>
      </x:c>
      <x:c r="F42" s="14" t="str">
        <x:v>No</x:v>
      </x:c>
      <x:c r="G42" s="14" t="str">
        <x:v>Medium</x:v>
      </x:c>
      <x:c r="H42" s="14" t="str">
        <x:v>Introduction to Psychology</x:v>
      </x:c>
      <x:c r="I42" s="14" t="str"/>
      <x:c r="J42" s="14" t="str"/>
    </x:row>
    <x:row r="43">
      <x:c r="A43" s="14" t="str">
        <x:v>F042</x:v>
      </x:c>
      <x:c r="B43" s="14" t="str">
        <x:v>Curriculum</x:v>
      </x:c>
      <x:c r="C43" s="14" t="str">
        <x:v>core_subjects</x:v>
      </x:c>
      <x:c r="D43" s="14" t="str">
        <x:v>Mandatory core subjects</x:v>
      </x:c>
      <x:c r="E43" s="14" t="str">
        <x:v>Multi-reference</x:v>
      </x:c>
      <x:c r="F43" s="14" t="str">
        <x:v>Yes</x:v>
      </x:c>
      <x:c r="G43" s="14" t="str">
        <x:v>Medium</x:v>
      </x:c>
      <x:c r="H43" s="14" t="str">
        <x:v>Research Methods</x:v>
      </x:c>
      <x:c r="I43" s="14" t="str"/>
      <x:c r="J43" s="14" t="str"/>
    </x:row>
    <x:row r="44">
      <x:c r="A44" s="14" t="str">
        <x:v>F043</x:v>
      </x:c>
      <x:c r="B44" s="14" t="str">
        <x:v>Curriculum</x:v>
      </x:c>
      <x:c r="C44" s="14" t="str">
        <x:v>electives</x:v>
      </x:c>
      <x:c r="D44" s="14" t="str">
        <x:v>Optional/elective subjects</x:v>
      </x:c>
      <x:c r="E44" s="14" t="str">
        <x:v>Multi-reference</x:v>
      </x:c>
      <x:c r="F44" s="14" t="str">
        <x:v>No</x:v>
      </x:c>
      <x:c r="G44" s="14" t="str">
        <x:v>Medium</x:v>
      </x:c>
      <x:c r="H44" s="14" t="str">
        <x:v>Health Psychology</x:v>
      </x:c>
      <x:c r="I44" s="14" t="str"/>
      <x:c r="J44" s="14" t="str"/>
    </x:row>
    <x:row r="45">
      <x:c r="A45" s="14" t="str">
        <x:v>F044</x:v>
      </x:c>
      <x:c r="B45" s="14" t="str">
        <x:v>Curriculum</x:v>
      </x:c>
      <x:c r="C45" s="14" t="str">
        <x:v>practical_components</x:v>
      </x:c>
      <x:c r="D45" s="14" t="str">
        <x:v>Practical learning requirements</x:v>
      </x:c>
      <x:c r="E45" s="14" t="str">
        <x:v>Text</x:v>
      </x:c>
      <x:c r="F45" s="14" t="str">
        <x:v>No</x:v>
      </x:c>
      <x:c r="G45" s="14" t="str">
        <x:v>Medium</x:v>
      </x:c>
      <x:c r="H45" s="14" t="str">
        <x:v>Behavioural experiments</x:v>
      </x:c>
      <x:c r="I45" s="14" t="str"/>
      <x:c r="J45" s="14" t="str"/>
    </x:row>
    <x:row r="46">
      <x:c r="A46" s="14" t="str">
        <x:v>F045</x:v>
      </x:c>
      <x:c r="B46" s="14" t="str">
        <x:v>Curriculum</x:v>
      </x:c>
      <x:c r="C46" s="14" t="str">
        <x:v>laboratory_components</x:v>
      </x:c>
      <x:c r="D46" s="14" t="str">
        <x:v>Laboratory subjects or hours</x:v>
      </x:c>
      <x:c r="E46" s="14" t="str">
        <x:v>Text</x:v>
      </x:c>
      <x:c r="F46" s="14" t="str">
        <x:v>No</x:v>
      </x:c>
      <x:c r="G46" s="14" t="str">
        <x:v>Medium</x:v>
      </x:c>
      <x:c r="H46" s="14" t="str">
        <x:v>Psychology laboratory</x:v>
      </x:c>
      <x:c r="I46" s="14" t="str"/>
      <x:c r="J46" s="14" t="str"/>
    </x:row>
    <x:row r="47">
      <x:c r="A47" s="14" t="str">
        <x:v>F046</x:v>
      </x:c>
      <x:c r="B47" s="14" t="str">
        <x:v>Curriculum</x:v>
      </x:c>
      <x:c r="C47" s="14" t="str">
        <x:v>internship</x:v>
      </x:c>
      <x:c r="D47" s="14" t="str">
        <x:v>Internship requirement and duration</x:v>
      </x:c>
      <x:c r="E47" s="14" t="str">
        <x:v>Text</x:v>
      </x:c>
      <x:c r="F47" s="14" t="str">
        <x:v>No</x:v>
      </x:c>
      <x:c r="G47" s="14" t="str">
        <x:v>Medium</x:v>
      </x:c>
      <x:c r="H47" s="14" t="str">
        <x:v>4-week internship</x:v>
      </x:c>
      <x:c r="I47" s="14" t="str"/>
      <x:c r="J47" s="14" t="str"/>
    </x:row>
    <x:row r="48">
      <x:c r="A48" s="14" t="str">
        <x:v>F047</x:v>
      </x:c>
      <x:c r="B48" s="14" t="str">
        <x:v>Curriculum</x:v>
      </x:c>
      <x:c r="C48" s="14" t="str">
        <x:v>fieldwork</x:v>
      </x:c>
      <x:c r="D48" s="14" t="str">
        <x:v>Fieldwork or community work</x:v>
      </x:c>
      <x:c r="E48" s="14" t="str">
        <x:v>Text</x:v>
      </x:c>
      <x:c r="F48" s="14" t="str">
        <x:v>No</x:v>
      </x:c>
      <x:c r="G48" s="14" t="str">
        <x:v>Medium</x:v>
      </x:c>
      <x:c r="H48" s="14" t="str">
        <x:v>Community observation</x:v>
      </x:c>
      <x:c r="I48" s="14" t="str"/>
      <x:c r="J48" s="14" t="str"/>
    </x:row>
    <x:row r="49">
      <x:c r="A49" s="14" t="str">
        <x:v>F048</x:v>
      </x:c>
      <x:c r="B49" s="14" t="str">
        <x:v>Curriculum</x:v>
      </x:c>
      <x:c r="C49" s="14" t="str">
        <x:v>project</x:v>
      </x:c>
      <x:c r="D49" s="14" t="str">
        <x:v>Project requirement</x:v>
      </x:c>
      <x:c r="E49" s="14" t="str">
        <x:v>Text</x:v>
      </x:c>
      <x:c r="F49" s="14" t="str">
        <x:v>No</x:v>
      </x:c>
      <x:c r="G49" s="14" t="str">
        <x:v>Medium</x:v>
      </x:c>
      <x:c r="H49" s="14" t="str">
        <x:v>Final-year project</x:v>
      </x:c>
      <x:c r="I49" s="14" t="str"/>
      <x:c r="J49" s="14" t="str"/>
    </x:row>
    <x:row r="50">
      <x:c r="A50" s="14" t="str">
        <x:v>F049</x:v>
      </x:c>
      <x:c r="B50" s="14" t="str">
        <x:v>Curriculum</x:v>
      </x:c>
      <x:c r="C50" s="14" t="str">
        <x:v>dissertation</x:v>
      </x:c>
      <x:c r="D50" s="14" t="str">
        <x:v>Dissertation/research thesis requirement</x:v>
      </x:c>
      <x:c r="E50" s="14" t="str">
        <x:v>Text</x:v>
      </x:c>
      <x:c r="F50" s="14" t="str">
        <x:v>No</x:v>
      </x:c>
      <x:c r="G50" s="14" t="str">
        <x:v>Medium</x:v>
      </x:c>
      <x:c r="H50" s="14" t="str">
        <x:v>Optional dissertation</x:v>
      </x:c>
      <x:c r="I50" s="14" t="str"/>
      <x:c r="J50" s="14" t="str"/>
    </x:row>
    <x:row r="51">
      <x:c r="A51" s="14" t="str">
        <x:v>F050</x:v>
      </x:c>
      <x:c r="B51" s="14" t="str">
        <x:v>Curriculum</x:v>
      </x:c>
      <x:c r="C51" s="14" t="str">
        <x:v>curriculum_year</x:v>
      </x:c>
      <x:c r="D51" s="14" t="str">
        <x:v>Year/version of curriculum</x:v>
      </x:c>
      <x:c r="E51" s="14" t="str">
        <x:v>Year/version</x:v>
      </x:c>
      <x:c r="F51" s="14" t="str">
        <x:v>Yes</x:v>
      </x:c>
      <x:c r="G51" s="14" t="str">
        <x:v>High</x:v>
      </x:c>
      <x:c r="H51" s="14" t="str">
        <x:v>2025 regulation</x:v>
      </x:c>
      <x:c r="I51" s="14" t="str"/>
      <x:c r="J51" s="14" t="str"/>
    </x:row>
    <x:row r="52">
      <x:c r="A52" s="14" t="str">
        <x:v>F051</x:v>
      </x:c>
      <x:c r="B52" s="14" t="str">
        <x:v>Specialisation</x:v>
      </x:c>
      <x:c r="C52" s="14" t="str">
        <x:v>specialisation_name</x:v>
      </x:c>
      <x:c r="D52" s="14" t="str">
        <x:v>Formal specialisation title</x:v>
      </x:c>
      <x:c r="E52" s="14" t="str">
        <x:v>Text</x:v>
      </x:c>
      <x:c r="F52" s="14" t="str">
        <x:v>Yes</x:v>
      </x:c>
      <x:c r="G52" s="14" t="str">
        <x:v>Medium</x:v>
      </x:c>
      <x:c r="H52" s="14" t="str">
        <x:v>Organisational Psychology</x:v>
      </x:c>
      <x:c r="I52" s="14" t="str"/>
      <x:c r="J52" s="14" t="str"/>
    </x:row>
    <x:row r="53">
      <x:c r="A53" s="14" t="str">
        <x:v>F052</x:v>
      </x:c>
      <x:c r="B53" s="14" t="str">
        <x:v>Specialisation</x:v>
      </x:c>
      <x:c r="C53" s="14" t="str">
        <x:v>available_at_level</x:v>
      </x:c>
      <x:c r="D53" s="14" t="str">
        <x:v>UG/PG/doctoral/other level</x:v>
      </x:c>
      <x:c r="E53" s="14" t="str">
        <x:v>Category</x:v>
      </x:c>
      <x:c r="F53" s="14" t="str">
        <x:v>Yes</x:v>
      </x:c>
      <x:c r="G53" s="14" t="str">
        <x:v>Medium</x:v>
      </x:c>
      <x:c r="H53" s="14" t="str">
        <x:v>Postgraduate</x:v>
      </x:c>
      <x:c r="I53" s="14" t="str"/>
      <x:c r="J53" s="14" t="str"/>
    </x:row>
    <x:row r="54">
      <x:c r="A54" s="14" t="str">
        <x:v>F053</x:v>
      </x:c>
      <x:c r="B54" s="14" t="str">
        <x:v>Specialisation</x:v>
      </x:c>
      <x:c r="C54" s="14" t="str">
        <x:v>parent_course</x:v>
      </x:c>
      <x:c r="D54" s="14" t="str">
        <x:v>Parent/base course</x:v>
      </x:c>
      <x:c r="E54" s="14" t="str">
        <x:v>Reference</x:v>
      </x:c>
      <x:c r="F54" s="14" t="str">
        <x:v>Yes</x:v>
      </x:c>
      <x:c r="G54" s="14" t="str">
        <x:v>Low</x:v>
      </x:c>
      <x:c r="H54" s="14" t="str">
        <x:v>Psychology</x:v>
      </x:c>
      <x:c r="I54" s="14" t="str"/>
      <x:c r="J54" s="14" t="str"/>
    </x:row>
    <x:row r="55">
      <x:c r="A55" s="14" t="str">
        <x:v>F054</x:v>
      </x:c>
      <x:c r="B55" s="14" t="str">
        <x:v>Specialisation</x:v>
      </x:c>
      <x:c r="C55" s="14" t="str">
        <x:v>typical_subjects</x:v>
      </x:c>
      <x:c r="D55" s="14" t="str">
        <x:v>Subjects associated with the specialisation</x:v>
      </x:c>
      <x:c r="E55" s="14" t="str">
        <x:v>Multi-reference</x:v>
      </x:c>
      <x:c r="F55" s="14" t="str">
        <x:v>No</x:v>
      </x:c>
      <x:c r="G55" s="14" t="str">
        <x:v>Medium</x:v>
      </x:c>
      <x:c r="H55" s="14" t="str">
        <x:v>Workplace Behaviour</x:v>
      </x:c>
      <x:c r="I55" s="14" t="str"/>
      <x:c r="J55" s="14" t="str"/>
    </x:row>
    <x:row r="56">
      <x:c r="A56" s="14" t="str">
        <x:v>F055</x:v>
      </x:c>
      <x:c r="B56" s="14" t="str">
        <x:v>Specialisation</x:v>
      </x:c>
      <x:c r="C56" s="14" t="str">
        <x:v>career_focus</x:v>
      </x:c>
      <x:c r="D56" s="14" t="str">
        <x:v>Typical career direction</x:v>
      </x:c>
      <x:c r="E56" s="14" t="str">
        <x:v>Text</x:v>
      </x:c>
      <x:c r="F56" s="14" t="str">
        <x:v>No</x:v>
      </x:c>
      <x:c r="G56" s="14" t="str">
        <x:v>Medium</x:v>
      </x:c>
      <x:c r="H56" s="14" t="str">
        <x:v>HR and organisational development</x:v>
      </x:c>
      <x:c r="I56" s="14" t="str"/>
      <x:c r="J56" s="14" t="str"/>
    </x:row>
    <x:row r="57">
      <x:c r="A57" s="14" t="str">
        <x:v>F056</x:v>
      </x:c>
      <x:c r="B57" s="14" t="str">
        <x:v>Specialisation</x:v>
      </x:c>
      <x:c r="C57" s="14" t="str">
        <x:v>specialisation_type</x:v>
      </x:c>
      <x:c r="D57" s="14" t="str">
        <x:v>Major, honours, elective, concentration or formal degree</x:v>
      </x:c>
      <x:c r="E57" s="14" t="str">
        <x:v>Category</x:v>
      </x:c>
      <x:c r="F57" s="14" t="str">
        <x:v>Yes</x:v>
      </x:c>
      <x:c r="G57" s="14" t="str">
        <x:v>Medium</x:v>
      </x:c>
      <x:c r="H57" s="14" t="str">
        <x:v>Formal PG specialisation</x:v>
      </x:c>
      <x:c r="I57" s="14" t="str"/>
      <x:c r="J57" s="14" t="str"/>
    </x:row>
    <x:row r="58">
      <x:c r="A58" s="14" t="str">
        <x:v>F057</x:v>
      </x:c>
      <x:c r="B58" s="14" t="str">
        <x:v>Institution &amp; Offering</x:v>
      </x:c>
      <x:c r="C58" s="14" t="str">
        <x:v>official_institution_name</x:v>
      </x:c>
      <x:c r="D58" s="14" t="str">
        <x:v>Current legal/official name</x:v>
      </x:c>
      <x:c r="E58" s="14" t="str">
        <x:v>Text</x:v>
      </x:c>
      <x:c r="F58" s="14" t="str">
        <x:v>Yes</x:v>
      </x:c>
      <x:c r="G58" s="14" t="str">
        <x:v>High</x:v>
      </x:c>
      <x:c r="H58" s="14" t="str">
        <x:v>University of Example</x:v>
      </x:c>
      <x:c r="I58" s="14" t="str"/>
      <x:c r="J58" s="14" t="str"/>
    </x:row>
    <x:row r="59">
      <x:c r="A59" s="14" t="str">
        <x:v>F058</x:v>
      </x:c>
      <x:c r="B59" s="14" t="str">
        <x:v>Institution &amp; Offering</x:v>
      </x:c>
      <x:c r="C59" s="14" t="str">
        <x:v>previous_name</x:v>
      </x:c>
      <x:c r="D59" s="14" t="str">
        <x:v>Former institution name</x:v>
      </x:c>
      <x:c r="E59" s="14" t="str">
        <x:v>Text</x:v>
      </x:c>
      <x:c r="F59" s="14" t="str">
        <x:v>No</x:v>
      </x:c>
      <x:c r="G59" s="14" t="str">
        <x:v>Medium</x:v>
      </x:c>
      <x:c r="H59" s="14" t="str">
        <x:v>Example College</x:v>
      </x:c>
      <x:c r="I59" s="14" t="str"/>
      <x:c r="J59" s="14" t="str"/>
    </x:row>
    <x:row r="60">
      <x:c r="A60" s="14" t="str">
        <x:v>F059</x:v>
      </x:c>
      <x:c r="B60" s="14" t="str">
        <x:v>Institution &amp; Offering</x:v>
      </x:c>
      <x:c r="C60" s="14" t="str">
        <x:v>institution_type</x:v>
      </x:c>
      <x:c r="D60" s="14" t="str">
        <x:v>University/college/standalone institute</x:v>
      </x:c>
      <x:c r="E60" s="14" t="str">
        <x:v>Category</x:v>
      </x:c>
      <x:c r="F60" s="14" t="str">
        <x:v>Yes</x:v>
      </x:c>
      <x:c r="G60" s="14" t="str">
        <x:v>Medium</x:v>
      </x:c>
      <x:c r="H60" s="14" t="str">
        <x:v>University</x:v>
      </x:c>
      <x:c r="I60" s="14" t="str"/>
      <x:c r="J60" s="14" t="str"/>
    </x:row>
    <x:row r="61">
      <x:c r="A61" s="14" t="str">
        <x:v>F060</x:v>
      </x:c>
      <x:c r="B61" s="14" t="str">
        <x:v>Institution &amp; Offering</x:v>
      </x:c>
      <x:c r="C61" s="14" t="str">
        <x:v>ownership_type</x:v>
      </x:c>
      <x:c r="D61" s="14" t="str">
        <x:v>Government, aided, private, etc.</x:v>
      </x:c>
      <x:c r="E61" s="14" t="str">
        <x:v>Category</x:v>
      </x:c>
      <x:c r="F61" s="14" t="str">
        <x:v>Yes</x:v>
      </x:c>
      <x:c r="G61" s="14" t="str">
        <x:v>High</x:v>
      </x:c>
      <x:c r="H61" s="14" t="str">
        <x:v>State government</x:v>
      </x:c>
      <x:c r="I61" s="14" t="str"/>
      <x:c r="J61" s="14" t="str"/>
    </x:row>
    <x:row r="62">
      <x:c r="A62" s="14" t="str">
        <x:v>F061</x:v>
      </x:c>
      <x:c r="B62" s="14" t="str">
        <x:v>Institution &amp; Offering</x:v>
      </x:c>
      <x:c r="C62" s="14" t="str">
        <x:v>affiliating_university</x:v>
      </x:c>
      <x:c r="D62" s="14" t="str">
        <x:v>Affiliating university if applicable</x:v>
      </x:c>
      <x:c r="E62" s="14" t="str">
        <x:v>Reference</x:v>
      </x:c>
      <x:c r="F62" s="14" t="str">
        <x:v>No</x:v>
      </x:c>
      <x:c r="G62" s="14" t="str">
        <x:v>High</x:v>
      </x:c>
      <x:c r="H62" s="14" t="str">
        <x:v>University of Kerala</x:v>
      </x:c>
      <x:c r="I62" s="14" t="str"/>
      <x:c r="J62" s="14" t="str"/>
    </x:row>
    <x:row r="63">
      <x:c r="A63" s="14" t="str">
        <x:v>F062</x:v>
      </x:c>
      <x:c r="B63" s="14" t="str">
        <x:v>Institution &amp; Offering</x:v>
      </x:c>
      <x:c r="C63" s="14" t="str">
        <x:v>autonomous_status</x:v>
      </x:c>
      <x:c r="D63" s="14" t="str">
        <x:v>Autonomous status and validity</x:v>
      </x:c>
      <x:c r="E63" s="14" t="str">
        <x:v>Text</x:v>
      </x:c>
      <x:c r="F63" s="14" t="str">
        <x:v>No</x:v>
      </x:c>
      <x:c r="G63" s="14" t="str">
        <x:v>High</x:v>
      </x:c>
      <x:c r="H63" s="14" t="str">
        <x:v>Autonomous until 2028</x:v>
      </x:c>
      <x:c r="I63" s="14" t="str"/>
      <x:c r="J63" s="14" t="str"/>
    </x:row>
    <x:row r="64">
      <x:c r="A64" s="14" t="str">
        <x:v>F063</x:v>
      </x:c>
      <x:c r="B64" s="14" t="str">
        <x:v>Institution &amp; Offering</x:v>
      </x:c>
      <x:c r="C64" s="14" t="str">
        <x:v>ugc_status</x:v>
      </x:c>
      <x:c r="D64" s="14" t="str">
        <x:v>UGC recognition/category</x:v>
      </x:c>
      <x:c r="E64" s="14" t="str">
        <x:v>Text</x:v>
      </x:c>
      <x:c r="F64" s="14" t="str">
        <x:v>No</x:v>
      </x:c>
      <x:c r="G64" s="14" t="str">
        <x:v>High</x:v>
      </x:c>
      <x:c r="H64" s="14" t="str">
        <x:v>State university</x:v>
      </x:c>
      <x:c r="I64" s="14" t="str"/>
      <x:c r="J64" s="14" t="str"/>
    </x:row>
    <x:row r="65">
      <x:c r="A65" s="14" t="str">
        <x:v>F064</x:v>
      </x:c>
      <x:c r="B65" s="14" t="str">
        <x:v>Institution &amp; Offering</x:v>
      </x:c>
      <x:c r="C65" s="14" t="str">
        <x:v>aicte_status</x:v>
      </x:c>
      <x:c r="D65" s="14" t="str">
        <x:v>AICTE approval status for relevant programme</x:v>
      </x:c>
      <x:c r="E65" s="14" t="str">
        <x:v>Text</x:v>
      </x:c>
      <x:c r="F65" s="14" t="str">
        <x:v>No</x:v>
      </x:c>
      <x:c r="G65" s="14" t="str">
        <x:v>High</x:v>
      </x:c>
      <x:c r="H65" s="14" t="str">
        <x:v>Approved 2026–27</x:v>
      </x:c>
      <x:c r="I65" s="14" t="str"/>
      <x:c r="J65" s="14" t="str"/>
    </x:row>
    <x:row r="66">
      <x:c r="A66" s="14" t="str">
        <x:v>F065</x:v>
      </x:c>
      <x:c r="B66" s="14" t="str">
        <x:v>Institution &amp; Offering</x:v>
      </x:c>
      <x:c r="C66" s="14" t="str">
        <x:v>professional_council_status</x:v>
      </x:c>
      <x:c r="D66" s="14" t="str">
        <x:v>Approval from relevant professional council</x:v>
      </x:c>
      <x:c r="E66" s="14" t="str">
        <x:v>Text</x:v>
      </x:c>
      <x:c r="F66" s="14" t="str">
        <x:v>No</x:v>
      </x:c>
      <x:c r="G66" s="14" t="str">
        <x:v>High</x:v>
      </x:c>
      <x:c r="H66" s="14" t="str">
        <x:v>PCI approved</x:v>
      </x:c>
      <x:c r="I66" s="14" t="str"/>
      <x:c r="J66" s="14" t="str"/>
    </x:row>
    <x:row r="67">
      <x:c r="A67" s="14" t="str">
        <x:v>F066</x:v>
      </x:c>
      <x:c r="B67" s="14" t="str">
        <x:v>Institution &amp; Offering</x:v>
      </x:c>
      <x:c r="C67" s="14" t="str">
        <x:v>aishe_code</x:v>
      </x:c>
      <x:c r="D67" s="14" t="str">
        <x:v>AISHE institutional identifier</x:v>
      </x:c>
      <x:c r="E67" s="14" t="str">
        <x:v>Text</x:v>
      </x:c>
      <x:c r="F67" s="14" t="str">
        <x:v>No</x:v>
      </x:c>
      <x:c r="G67" s="14" t="str">
        <x:v>Medium</x:v>
      </x:c>
      <x:c r="H67" s="14" t="str">
        <x:v>U-0123</x:v>
      </x:c>
      <x:c r="I67" s="14" t="str"/>
      <x:c r="J67" s="14" t="str"/>
    </x:row>
    <x:row r="68">
      <x:c r="A68" s="14" t="str">
        <x:v>F067</x:v>
      </x:c>
      <x:c r="B68" s="14" t="str">
        <x:v>Institution &amp; Offering</x:v>
      </x:c>
      <x:c r="C68" s="14" t="str">
        <x:v>nirf_id</x:v>
      </x:c>
      <x:c r="D68" s="14" t="str">
        <x:v>NIRF institutional identifier</x:v>
      </x:c>
      <x:c r="E68" s="14" t="str">
        <x:v>Text</x:v>
      </x:c>
      <x:c r="F68" s="14" t="str">
        <x:v>No</x:v>
      </x:c>
      <x:c r="G68" s="14" t="str">
        <x:v>Medium</x:v>
      </x:c>
      <x:c r="H68" s="14" t="str">
        <x:v>IR-O-U-0001</x:v>
      </x:c>
      <x:c r="I68" s="14" t="str"/>
      <x:c r="J68" s="14" t="str"/>
    </x:row>
    <x:row r="69">
      <x:c r="A69" s="14" t="str">
        <x:v>F068</x:v>
      </x:c>
      <x:c r="B69" s="14" t="str">
        <x:v>Institution &amp; Offering</x:v>
      </x:c>
      <x:c r="C69" s="14" t="str">
        <x:v>campus</x:v>
      </x:c>
      <x:c r="D69" s="14" t="str">
        <x:v>Specific campus offering the course</x:v>
      </x:c>
      <x:c r="E69" s="14" t="str">
        <x:v>Reference</x:v>
      </x:c>
      <x:c r="F69" s="14" t="str">
        <x:v>Yes</x:v>
      </x:c>
      <x:c r="G69" s="14" t="str">
        <x:v>High</x:v>
      </x:c>
      <x:c r="H69" s="14" t="str">
        <x:v>Main Campus</x:v>
      </x:c>
      <x:c r="I69" s="14" t="str"/>
      <x:c r="J69" s="14" t="str"/>
    </x:row>
    <x:row r="70">
      <x:c r="A70" s="14" t="str">
        <x:v>F069</x:v>
      </x:c>
      <x:c r="B70" s="14" t="str">
        <x:v>Institution &amp; Offering</x:v>
      </x:c>
      <x:c r="C70" s="14" t="str">
        <x:v>intake</x:v>
      </x:c>
      <x:c r="D70" s="14" t="str">
        <x:v>Approved/advertised seat intake</x:v>
      </x:c>
      <x:c r="E70" s="14" t="str">
        <x:v>Integer</x:v>
      </x:c>
      <x:c r="F70" s="14" t="str">
        <x:v>No</x:v>
      </x:c>
      <x:c r="G70" s="14" t="str">
        <x:v>High</x:v>
      </x:c>
      <x:c r="H70" s="14" t="str">
        <x:v>60</x:v>
      </x:c>
      <x:c r="I70" s="14" t="str"/>
      <x:c r="J70" s="14" t="str"/>
    </x:row>
    <x:row r="71">
      <x:c r="A71" s="14" t="str">
        <x:v>F070</x:v>
      </x:c>
      <x:c r="B71" s="14" t="str">
        <x:v>Institution &amp; Offering</x:v>
      </x:c>
      <x:c r="C71" s="14" t="str">
        <x:v>approval_academic_year</x:v>
      </x:c>
      <x:c r="D71" s="14" t="str">
        <x:v>Academic year of approval/offering</x:v>
      </x:c>
      <x:c r="E71" s="14" t="str">
        <x:v>Year range</x:v>
      </x:c>
      <x:c r="F71" s="14" t="str">
        <x:v>Yes</x:v>
      </x:c>
      <x:c r="G71" s="14" t="str">
        <x:v>High</x:v>
      </x:c>
      <x:c r="H71" s="14" t="str">
        <x:v>2026–27</x:v>
      </x:c>
      <x:c r="I71" s="14" t="str"/>
      <x:c r="J71" s="14" t="str"/>
    </x:row>
    <x:row r="72">
      <x:c r="A72" s="14" t="str">
        <x:v>F071</x:v>
      </x:c>
      <x:c r="B72" s="14" t="str">
        <x:v>Institution &amp; Offering</x:v>
      </x:c>
      <x:c r="C72" s="14" t="str">
        <x:v>official_course_url</x:v>
      </x:c>
      <x:c r="D72" s="14" t="str">
        <x:v>Official course or admission webpage</x:v>
      </x:c>
      <x:c r="E72" s="14" t="str">
        <x:v>URL</x:v>
      </x:c>
      <x:c r="F72" s="14" t="str">
        <x:v>Yes</x:v>
      </x:c>
      <x:c r="G72" s="14" t="str">
        <x:v>High</x:v>
      </x:c>
      <x:c r="H72" s="14" t="str">
        <x:v>Official institution URL</x:v>
      </x:c>
      <x:c r="I72" s="14" t="str"/>
      <x:c r="J72" s="14" t="str"/>
    </x:row>
    <x:row r="73">
      <x:c r="A73" s="14" t="str">
        <x:v>F072</x:v>
      </x:c>
      <x:c r="B73" s="14" t="str">
        <x:v>Ranking &amp; Accreditation</x:v>
      </x:c>
      <x:c r="C73" s="14" t="str">
        <x:v>ranking_body</x:v>
      </x:c>
      <x:c r="D73" s="14" t="str">
        <x:v>Ranking organisation/framework</x:v>
      </x:c>
      <x:c r="E73" s="14" t="str">
        <x:v>Reference</x:v>
      </x:c>
      <x:c r="F73" s="14" t="str">
        <x:v>Yes</x:v>
      </x:c>
      <x:c r="G73" s="14" t="str">
        <x:v>High</x:v>
      </x:c>
      <x:c r="H73" s="14" t="str">
        <x:v>NIRF</x:v>
      </x:c>
      <x:c r="I73" s="14" t="str"/>
      <x:c r="J73" s="14" t="str"/>
    </x:row>
    <x:row r="74">
      <x:c r="A74" s="14" t="str">
        <x:v>F073</x:v>
      </x:c>
      <x:c r="B74" s="14" t="str">
        <x:v>Ranking &amp; Accreditation</x:v>
      </x:c>
      <x:c r="C74" s="14" t="str">
        <x:v>ranking_year</x:v>
      </x:c>
      <x:c r="D74" s="14" t="str">
        <x:v>Year of ranking</x:v>
      </x:c>
      <x:c r="E74" s="14" t="str">
        <x:v>Year</x:v>
      </x:c>
      <x:c r="F74" s="14" t="str">
        <x:v>Yes</x:v>
      </x:c>
      <x:c r="G74" s="14" t="str">
        <x:v>High</x:v>
      </x:c>
      <x:c r="H74" s="14" t="str">
        <x:v>2026</x:v>
      </x:c>
      <x:c r="I74" s="14" t="str"/>
      <x:c r="J74" s="14" t="str"/>
    </x:row>
    <x:row r="75">
      <x:c r="A75" s="14" t="str">
        <x:v>F074</x:v>
      </x:c>
      <x:c r="B75" s="14" t="str">
        <x:v>Ranking &amp; Accreditation</x:v>
      </x:c>
      <x:c r="C75" s="14" t="str">
        <x:v>ranking_category</x:v>
      </x:c>
      <x:c r="D75" s="14" t="str">
        <x:v>University/college/engineering/etc.</x:v>
      </x:c>
      <x:c r="E75" s="14" t="str">
        <x:v>Category</x:v>
      </x:c>
      <x:c r="F75" s="14" t="str">
        <x:v>Yes</x:v>
      </x:c>
      <x:c r="G75" s="14" t="str">
        <x:v>High</x:v>
      </x:c>
      <x:c r="H75" s="14" t="str">
        <x:v>University</x:v>
      </x:c>
      <x:c r="I75" s="14" t="str"/>
      <x:c r="J75" s="14" t="str"/>
    </x:row>
    <x:row r="76">
      <x:c r="A76" s="14" t="str">
        <x:v>F075</x:v>
      </x:c>
      <x:c r="B76" s="14" t="str">
        <x:v>Ranking &amp; Accreditation</x:v>
      </x:c>
      <x:c r="C76" s="14" t="str">
        <x:v>rank</x:v>
      </x:c>
      <x:c r="D76" s="14" t="str">
        <x:v>Exact published rank</x:v>
      </x:c>
      <x:c r="E76" s="14" t="str">
        <x:v>Integer</x:v>
      </x:c>
      <x:c r="F76" s="14" t="str">
        <x:v>No</x:v>
      </x:c>
      <x:c r="G76" s="14" t="str">
        <x:v>High</x:v>
      </x:c>
      <x:c r="H76" s="14" t="str">
        <x:v>15</x:v>
      </x:c>
      <x:c r="I76" s="14" t="str"/>
      <x:c r="J76" s="14" t="str"/>
    </x:row>
    <x:row r="77">
      <x:c r="A77" s="14" t="str">
        <x:v>F076</x:v>
      </x:c>
      <x:c r="B77" s="14" t="str">
        <x:v>Ranking &amp; Accreditation</x:v>
      </x:c>
      <x:c r="C77" s="14" t="str">
        <x:v>rank_band</x:v>
      </x:c>
      <x:c r="D77" s="14" t="str">
        <x:v>Published rank band</x:v>
      </x:c>
      <x:c r="E77" s="14" t="str">
        <x:v>Text</x:v>
      </x:c>
      <x:c r="F77" s="14" t="str">
        <x:v>No</x:v>
      </x:c>
      <x:c r="G77" s="14" t="str">
        <x:v>High</x:v>
      </x:c>
      <x:c r="H77" s="14" t="str">
        <x:v>101–150</x:v>
      </x:c>
      <x:c r="I77" s="14" t="str"/>
      <x:c r="J77" s="14" t="str"/>
    </x:row>
    <x:row r="78">
      <x:c r="A78" s="14" t="str">
        <x:v>F077</x:v>
      </x:c>
      <x:c r="B78" s="14" t="str">
        <x:v>Ranking &amp; Accreditation</x:v>
      </x:c>
      <x:c r="C78" s="14" t="str">
        <x:v>ranking_score</x:v>
      </x:c>
      <x:c r="D78" s="14" t="str">
        <x:v>Published score</x:v>
      </x:c>
      <x:c r="E78" s="14" t="str">
        <x:v>Decimal</x:v>
      </x:c>
      <x:c r="F78" s="14" t="str">
        <x:v>No</x:v>
      </x:c>
      <x:c r="G78" s="14" t="str">
        <x:v>High</x:v>
      </x:c>
      <x:c r="H78" s="14" t="str">
        <x:v>58.42</x:v>
      </x:c>
      <x:c r="I78" s="14" t="str"/>
      <x:c r="J78" s="14" t="str"/>
    </x:row>
    <x:row r="79">
      <x:c r="A79" s="14" t="str">
        <x:v>F078</x:v>
      </x:c>
      <x:c r="B79" s="14" t="str">
        <x:v>Ranking &amp; Accreditation</x:v>
      </x:c>
      <x:c r="C79" s="14" t="str">
        <x:v>naac_status</x:v>
      </x:c>
      <x:c r="D79" s="14" t="str">
        <x:v>Institutional accreditation grade/validity</x:v>
      </x:c>
      <x:c r="E79" s="14" t="str">
        <x:v>Text</x:v>
      </x:c>
      <x:c r="F79" s="14" t="str">
        <x:v>No</x:v>
      </x:c>
      <x:c r="G79" s="14" t="str">
        <x:v>High</x:v>
      </x:c>
      <x:c r="H79" s="14" t="str">
        <x:v>A++ valid to 2029</x:v>
      </x:c>
      <x:c r="I79" s="14" t="str"/>
      <x:c r="J79" s="14" t="str"/>
    </x:row>
    <x:row r="80">
      <x:c r="A80" s="14" t="str">
        <x:v>F079</x:v>
      </x:c>
      <x:c r="B80" s="14" t="str">
        <x:v>Ranking &amp; Accreditation</x:v>
      </x:c>
      <x:c r="C80" s="14" t="str">
        <x:v>nba_programme_status</x:v>
      </x:c>
      <x:c r="D80" s="14" t="str">
        <x:v>Programme accreditation and validity</x:v>
      </x:c>
      <x:c r="E80" s="14" t="str">
        <x:v>Text</x:v>
      </x:c>
      <x:c r="F80" s="14" t="str">
        <x:v>No</x:v>
      </x:c>
      <x:c r="G80" s="14" t="str">
        <x:v>High</x:v>
      </x:c>
      <x:c r="H80" s="14" t="str">
        <x:v>Accredited to 2028</x:v>
      </x:c>
      <x:c r="I80" s="14" t="str"/>
      <x:c r="J80" s="14" t="str"/>
    </x:row>
    <x:row r="81">
      <x:c r="A81" s="14" t="str">
        <x:v>F080</x:v>
      </x:c>
      <x:c r="B81" s="14" t="str">
        <x:v>Fees</x:v>
      </x:c>
      <x:c r="C81" s="14" t="str">
        <x:v>tuition_fee</x:v>
      </x:c>
      <x:c r="D81" s="14" t="str">
        <x:v>Tuition component</x:v>
      </x:c>
      <x:c r="E81" s="14" t="str">
        <x:v>Currency</x:v>
      </x:c>
      <x:c r="F81" s="14" t="str">
        <x:v>Yes</x:v>
      </x:c>
      <x:c r="G81" s="14" t="str">
        <x:v>High</x:v>
      </x:c>
      <x:c r="H81" s="14" t="str">
        <x:v>₹50,000</x:v>
      </x:c>
      <x:c r="I81" s="14" t="str"/>
      <x:c r="J81" s="14" t="str"/>
    </x:row>
    <x:row r="82">
      <x:c r="A82" s="14" t="str">
        <x:v>F081</x:v>
      </x:c>
      <x:c r="B82" s="14" t="str">
        <x:v>Fees</x:v>
      </x:c>
      <x:c r="C82" s="14" t="str">
        <x:v>admission_fee</x:v>
      </x:c>
      <x:c r="D82" s="14" t="str">
        <x:v>One-time admission fee</x:v>
      </x:c>
      <x:c r="E82" s="14" t="str">
        <x:v>Currency</x:v>
      </x:c>
      <x:c r="F82" s="14" t="str">
        <x:v>No</x:v>
      </x:c>
      <x:c r="G82" s="14" t="str">
        <x:v>High</x:v>
      </x:c>
      <x:c r="H82" s="14" t="str">
        <x:v>₹5,000</x:v>
      </x:c>
      <x:c r="I82" s="14" t="str"/>
      <x:c r="J82" s="14" t="str"/>
    </x:row>
    <x:row r="83">
      <x:c r="A83" s="14" t="str">
        <x:v>F082</x:v>
      </x:c>
      <x:c r="B83" s="14" t="str">
        <x:v>Fees</x:v>
      </x:c>
      <x:c r="C83" s="14" t="str">
        <x:v>examination_fee</x:v>
      </x:c>
      <x:c r="D83" s="14" t="str">
        <x:v>Exam fee</x:v>
      </x:c>
      <x:c r="E83" s="14" t="str">
        <x:v>Currency</x:v>
      </x:c>
      <x:c r="F83" s="14" t="str">
        <x:v>No</x:v>
      </x:c>
      <x:c r="G83" s="14" t="str">
        <x:v>High</x:v>
      </x:c>
      <x:c r="H83" s="14" t="str">
        <x:v>₹2,500</x:v>
      </x:c>
      <x:c r="I83" s="14" t="str"/>
      <x:c r="J83" s="14" t="str"/>
    </x:row>
    <x:row r="84">
      <x:c r="A84" s="14" t="str">
        <x:v>F083</x:v>
      </x:c>
      <x:c r="B84" s="14" t="str">
        <x:v>Fees</x:v>
      </x:c>
      <x:c r="C84" s="14" t="str">
        <x:v>laboratory_fee</x:v>
      </x:c>
      <x:c r="D84" s="14" t="str">
        <x:v>Laboratory fee</x:v>
      </x:c>
      <x:c r="E84" s="14" t="str">
        <x:v>Currency</x:v>
      </x:c>
      <x:c r="F84" s="14" t="str">
        <x:v>No</x:v>
      </x:c>
      <x:c r="G84" s="14" t="str">
        <x:v>High</x:v>
      </x:c>
      <x:c r="H84" s="14" t="str">
        <x:v>₹3,000</x:v>
      </x:c>
      <x:c r="I84" s="14" t="str"/>
      <x:c r="J84" s="14" t="str"/>
    </x:row>
    <x:row r="85">
      <x:c r="A85" s="14" t="str">
        <x:v>F084</x:v>
      </x:c>
      <x:c r="B85" s="14" t="str">
        <x:v>Fees</x:v>
      </x:c>
      <x:c r="C85" s="14" t="str">
        <x:v>library_fee</x:v>
      </x:c>
      <x:c r="D85" s="14" t="str">
        <x:v>Library fee</x:v>
      </x:c>
      <x:c r="E85" s="14" t="str">
        <x:v>Currency</x:v>
      </x:c>
      <x:c r="F85" s="14" t="str">
        <x:v>No</x:v>
      </x:c>
      <x:c r="G85" s="14" t="str">
        <x:v>High</x:v>
      </x:c>
      <x:c r="H85" s="14" t="str">
        <x:v>₹1,000</x:v>
      </x:c>
      <x:c r="I85" s="14" t="str"/>
      <x:c r="J85" s="14" t="str"/>
    </x:row>
    <x:row r="86">
      <x:c r="A86" s="14" t="str">
        <x:v>F085</x:v>
      </x:c>
      <x:c r="B86" s="14" t="str">
        <x:v>Fees</x:v>
      </x:c>
      <x:c r="C86" s="14" t="str">
        <x:v>caution_deposit</x:v>
      </x:c>
      <x:c r="D86" s="14" t="str">
        <x:v>Refundable deposit</x:v>
      </x:c>
      <x:c r="E86" s="14" t="str">
        <x:v>Currency</x:v>
      </x:c>
      <x:c r="F86" s="14" t="str">
        <x:v>No</x:v>
      </x:c>
      <x:c r="G86" s="14" t="str">
        <x:v>High</x:v>
      </x:c>
      <x:c r="H86" s="14" t="str">
        <x:v>₹10,000</x:v>
      </x:c>
      <x:c r="I86" s="14" t="str"/>
      <x:c r="J86" s="14" t="str"/>
    </x:row>
    <x:row r="87">
      <x:c r="A87" s="14" t="str">
        <x:v>F086</x:v>
      </x:c>
      <x:c r="B87" s="14" t="str">
        <x:v>Fees</x:v>
      </x:c>
      <x:c r="C87" s="14" t="str">
        <x:v>hostel_fee</x:v>
      </x:c>
      <x:c r="D87" s="14" t="str">
        <x:v>Hostel charge</x:v>
      </x:c>
      <x:c r="E87" s="14" t="str">
        <x:v>Currency</x:v>
      </x:c>
      <x:c r="F87" s="14" t="str">
        <x:v>No</x:v>
      </x:c>
      <x:c r="G87" s="14" t="str">
        <x:v>High</x:v>
      </x:c>
      <x:c r="H87" s="14" t="str">
        <x:v>₹70,000</x:v>
      </x:c>
      <x:c r="I87" s="14" t="str"/>
      <x:c r="J87" s="14" t="str"/>
    </x:row>
    <x:row r="88">
      <x:c r="A88" s="14" t="str">
        <x:v>F087</x:v>
      </x:c>
      <x:c r="B88" s="14" t="str">
        <x:v>Fees</x:v>
      </x:c>
      <x:c r="C88" s="14" t="str">
        <x:v>mess_fee</x:v>
      </x:c>
      <x:c r="D88" s="14" t="str">
        <x:v>Food/mess charge</x:v>
      </x:c>
      <x:c r="E88" s="14" t="str">
        <x:v>Currency</x:v>
      </x:c>
      <x:c r="F88" s="14" t="str">
        <x:v>No</x:v>
      </x:c>
      <x:c r="G88" s="14" t="str">
        <x:v>High</x:v>
      </x:c>
      <x:c r="H88" s="14" t="str">
        <x:v>₹45,000</x:v>
      </x:c>
      <x:c r="I88" s="14" t="str"/>
      <x:c r="J88" s="14" t="str"/>
    </x:row>
    <x:row r="89">
      <x:c r="A89" s="14" t="str">
        <x:v>F088</x:v>
      </x:c>
      <x:c r="B89" s="14" t="str">
        <x:v>Fees</x:v>
      </x:c>
      <x:c r="C89" s="14" t="str">
        <x:v>transport_fee</x:v>
      </x:c>
      <x:c r="D89" s="14" t="str">
        <x:v>Transport fee</x:v>
      </x:c>
      <x:c r="E89" s="14" t="str">
        <x:v>Currency</x:v>
      </x:c>
      <x:c r="F89" s="14" t="str">
        <x:v>No</x:v>
      </x:c>
      <x:c r="G89" s="14" t="str">
        <x:v>High</x:v>
      </x:c>
      <x:c r="H89" s="14" t="str">
        <x:v>₹15,000</x:v>
      </x:c>
      <x:c r="I89" s="14" t="str"/>
      <x:c r="J89" s="14" t="str"/>
    </x:row>
    <x:row r="90">
      <x:c r="A90" s="14" t="str">
        <x:v>F089</x:v>
      </x:c>
      <x:c r="B90" s="14" t="str">
        <x:v>Fees</x:v>
      </x:c>
      <x:c r="C90" s="14" t="str">
        <x:v>fee_year</x:v>
      </x:c>
      <x:c r="D90" s="14" t="str">
        <x:v>Academic year of fee</x:v>
      </x:c>
      <x:c r="E90" s="14" t="str">
        <x:v>Year range</x:v>
      </x:c>
      <x:c r="F90" s="14" t="str">
        <x:v>Yes</x:v>
      </x:c>
      <x:c r="G90" s="14" t="str">
        <x:v>High</x:v>
      </x:c>
      <x:c r="H90" s="14" t="str">
        <x:v>2026–27</x:v>
      </x:c>
      <x:c r="I90" s="14" t="str"/>
      <x:c r="J90" s="14" t="str"/>
    </x:row>
    <x:row r="91">
      <x:c r="A91" s="14" t="str">
        <x:v>F090</x:v>
      </x:c>
      <x:c r="B91" s="14" t="str">
        <x:v>Fees</x:v>
      </x:c>
      <x:c r="C91" s="14" t="str">
        <x:v>quota_or_seat_type</x:v>
      </x:c>
      <x:c r="D91" s="14" t="str">
        <x:v>Merit/management/NRI/category seat</x:v>
      </x:c>
      <x:c r="E91" s="14" t="str">
        <x:v>Category</x:v>
      </x:c>
      <x:c r="F91" s="14" t="str">
        <x:v>Yes</x:v>
      </x:c>
      <x:c r="G91" s="14" t="str">
        <x:v>High</x:v>
      </x:c>
      <x:c r="H91" s="14" t="str">
        <x:v>Merit</x:v>
      </x:c>
      <x:c r="I91" s="14" t="str"/>
      <x:c r="J91" s="14" t="str"/>
    </x:row>
    <x:row r="92">
      <x:c r="A92" s="14" t="str">
        <x:v>F091</x:v>
      </x:c>
      <x:c r="B92" s="14" t="str">
        <x:v>Fees</x:v>
      </x:c>
      <x:c r="C92" s="14" t="str">
        <x:v>total_estimated_cost</x:v>
      </x:c>
      <x:c r="D92" s="14" t="str">
        <x:v>Calculated total cost for selected components</x:v>
      </x:c>
      <x:c r="E92" s="14" t="str">
        <x:v>Formula/currency</x:v>
      </x:c>
      <x:c r="F92" s="14" t="str">
        <x:v>No</x:v>
      </x:c>
      <x:c r="G92" s="14" t="str">
        <x:v>High</x:v>
      </x:c>
      <x:c r="H92" s="14" t="str">
        <x:v>₹1,25,000</x:v>
      </x:c>
      <x:c r="I92" s="14" t="str"/>
      <x:c r="J92" s="14" t="str"/>
    </x:row>
    <x:row r="93">
      <x:c r="A93" s="14" t="str">
        <x:v>F092</x:v>
      </x:c>
      <x:c r="B93" s="14" t="str">
        <x:v>Scholarships</x:v>
      </x:c>
      <x:c r="C93" s="14" t="str">
        <x:v>scholarship_name</x:v>
      </x:c>
      <x:c r="D93" s="14" t="str">
        <x:v>Official scheme name</x:v>
      </x:c>
      <x:c r="E93" s="14" t="str">
        <x:v>Text</x:v>
      </x:c>
      <x:c r="F93" s="14" t="str">
        <x:v>Yes</x:v>
      </x:c>
      <x:c r="G93" s="14" t="str">
        <x:v>High</x:v>
      </x:c>
      <x:c r="H93" s="14" t="str">
        <x:v>Central Sector Scholarship</x:v>
      </x:c>
      <x:c r="I93" s="14" t="str"/>
      <x:c r="J93" s="14" t="str"/>
    </x:row>
    <x:row r="94">
      <x:c r="A94" s="14" t="str">
        <x:v>F093</x:v>
      </x:c>
      <x:c r="B94" s="14" t="str">
        <x:v>Scholarships</x:v>
      </x:c>
      <x:c r="C94" s="14" t="str">
        <x:v>provider</x:v>
      </x:c>
      <x:c r="D94" s="14" t="str">
        <x:v>Government/institution/provider</x:v>
      </x:c>
      <x:c r="E94" s="14" t="str">
        <x:v>Reference</x:v>
      </x:c>
      <x:c r="F94" s="14" t="str">
        <x:v>Yes</x:v>
      </x:c>
      <x:c r="G94" s="14" t="str">
        <x:v>High</x:v>
      </x:c>
      <x:c r="H94" s="14" t="str">
        <x:v>Ministry of Education</x:v>
      </x:c>
      <x:c r="I94" s="14" t="str"/>
      <x:c r="J94" s="14" t="str"/>
    </x:row>
    <x:row r="95">
      <x:c r="A95" s="14" t="str">
        <x:v>F094</x:v>
      </x:c>
      <x:c r="B95" s="14" t="str">
        <x:v>Scholarships</x:v>
      </x:c>
      <x:c r="C95" s="14" t="str">
        <x:v>scholarship_eligibility</x:v>
      </x:c>
      <x:c r="D95" s="14" t="str">
        <x:v>Academic/income/category eligibility</x:v>
      </x:c>
      <x:c r="E95" s="14" t="str">
        <x:v>Text</x:v>
      </x:c>
      <x:c r="F95" s="14" t="str">
        <x:v>Yes</x:v>
      </x:c>
      <x:c r="G95" s="14" t="str">
        <x:v>High</x:v>
      </x:c>
      <x:c r="H95" s="14" t="str">
        <x:v>Income below threshold</x:v>
      </x:c>
      <x:c r="I95" s="14" t="str"/>
      <x:c r="J95" s="14" t="str"/>
    </x:row>
    <x:row r="96">
      <x:c r="A96" s="14" t="str">
        <x:v>F095</x:v>
      </x:c>
      <x:c r="B96" s="14" t="str">
        <x:v>Scholarships</x:v>
      </x:c>
      <x:c r="C96" s="14" t="str">
        <x:v>applicable_course</x:v>
      </x:c>
      <x:c r="D96" s="14" t="str">
        <x:v>Courses or levels covered</x:v>
      </x:c>
      <x:c r="E96" s="14" t="str">
        <x:v>Reference</x:v>
      </x:c>
      <x:c r="F96" s="14" t="str">
        <x:v>No</x:v>
      </x:c>
      <x:c r="G96" s="14" t="str">
        <x:v>High</x:v>
      </x:c>
      <x:c r="H96" s="14" t="str">
        <x:v>Undergraduate</x:v>
      </x:c>
      <x:c r="I96" s="14" t="str"/>
      <x:c r="J96" s="14" t="str"/>
    </x:row>
    <x:row r="97">
      <x:c r="A97" s="14" t="str">
        <x:v>F096</x:v>
      </x:c>
      <x:c r="B97" s="14" t="str">
        <x:v>Scholarships</x:v>
      </x:c>
      <x:c r="C97" s="14" t="str">
        <x:v>income_limit</x:v>
      </x:c>
      <x:c r="D97" s="14" t="str">
        <x:v>Family income limit</x:v>
      </x:c>
      <x:c r="E97" s="14" t="str">
        <x:v>Currency/rule</x:v>
      </x:c>
      <x:c r="F97" s="14" t="str">
        <x:v>No</x:v>
      </x:c>
      <x:c r="G97" s="14" t="str">
        <x:v>High</x:v>
      </x:c>
      <x:c r="H97" s="14" t="str">
        <x:v>₹4.5 lakh</x:v>
      </x:c>
      <x:c r="I97" s="14" t="str"/>
      <x:c r="J97" s="14" t="str"/>
    </x:row>
    <x:row r="98">
      <x:c r="A98" s="14" t="str">
        <x:v>F097</x:v>
      </x:c>
      <x:c r="B98" s="14" t="str">
        <x:v>Scholarships</x:v>
      </x:c>
      <x:c r="C98" s="14" t="str">
        <x:v>category_requirement</x:v>
      </x:c>
      <x:c r="D98" s="14" t="str">
        <x:v>Category/gender/disability/etc. rule</x:v>
      </x:c>
      <x:c r="E98" s="14" t="str">
        <x:v>Text</x:v>
      </x:c>
      <x:c r="F98" s="14" t="str">
        <x:v>No</x:v>
      </x:c>
      <x:c r="G98" s="14" t="str">
        <x:v>High</x:v>
      </x:c>
      <x:c r="H98" s="14" t="str">
        <x:v>Scheme-specific</x:v>
      </x:c>
      <x:c r="I98" s="14" t="str"/>
      <x:c r="J98" s="14" t="str"/>
    </x:row>
    <x:row r="99">
      <x:c r="A99" s="14" t="str">
        <x:v>F098</x:v>
      </x:c>
      <x:c r="B99" s="14" t="str">
        <x:v>Scholarships</x:v>
      </x:c>
      <x:c r="C99" s="14" t="str">
        <x:v>award_amount</x:v>
      </x:c>
      <x:c r="D99" s="14" t="str">
        <x:v>Benefit amount or fee coverage</x:v>
      </x:c>
      <x:c r="E99" s="14" t="str">
        <x:v>Currency/text</x:v>
      </x:c>
      <x:c r="F99" s="14" t="str">
        <x:v>No</x:v>
      </x:c>
      <x:c r="G99" s="14" t="str">
        <x:v>High</x:v>
      </x:c>
      <x:c r="H99" s="14" t="str">
        <x:v>₹12,000 per year</x:v>
      </x:c>
      <x:c r="I99" s="14" t="str"/>
      <x:c r="J99" s="14" t="str"/>
    </x:row>
    <x:row r="100">
      <x:c r="A100" s="14" t="str">
        <x:v>F099</x:v>
      </x:c>
      <x:c r="B100" s="14" t="str">
        <x:v>Scholarships</x:v>
      </x:c>
      <x:c r="C100" s="14" t="str">
        <x:v>scholarship_deadline</x:v>
      </x:c>
      <x:c r="D100" s="14" t="str">
        <x:v>Application deadline</x:v>
      </x:c>
      <x:c r="E100" s="14" t="str">
        <x:v>Date</x:v>
      </x:c>
      <x:c r="F100" s="14" t="str">
        <x:v>No</x:v>
      </x:c>
      <x:c r="G100" s="14" t="str">
        <x:v>High</x:v>
      </x:c>
      <x:c r="H100" s="14" t="str">
        <x:v>2026-10-31</x:v>
      </x:c>
      <x:c r="I100" s="14" t="str"/>
      <x:c r="J100" s="14" t="str"/>
    </x:row>
    <x:row r="101">
      <x:c r="A101" s="14" t="str">
        <x:v>F100</x:v>
      </x:c>
      <x:c r="B101" s="14" t="str">
        <x:v>Scholarships</x:v>
      </x:c>
      <x:c r="C101" s="14" t="str">
        <x:v>scholarship_year</x:v>
      </x:c>
      <x:c r="D101" s="14" t="str">
        <x:v>Scheme year</x:v>
      </x:c>
      <x:c r="E101" s="14" t="str">
        <x:v>Year</x:v>
      </x:c>
      <x:c r="F101" s="14" t="str">
        <x:v>Yes</x:v>
      </x:c>
      <x:c r="G101" s="14" t="str">
        <x:v>High</x:v>
      </x:c>
      <x:c r="H101" s="14" t="str">
        <x:v>2026–27</x:v>
      </x:c>
      <x:c r="I101" s="14" t="str"/>
      <x:c r="J101" s="14" t="str"/>
    </x:row>
    <x:row r="102">
      <x:c r="A102" s="14" t="str">
        <x:v>F101</x:v>
      </x:c>
      <x:c r="B102" s="14" t="str">
        <x:v>Scholarships</x:v>
      </x:c>
      <x:c r="C102" s="14" t="str">
        <x:v>scholarship_source</x:v>
      </x:c>
      <x:c r="D102" s="14" t="str">
        <x:v>Official source URL/document</x:v>
      </x:c>
      <x:c r="E102" s="14" t="str">
        <x:v>URL</x:v>
      </x:c>
      <x:c r="F102" s="14" t="str">
        <x:v>Yes</x:v>
      </x:c>
      <x:c r="G102" s="14" t="str">
        <x:v>High</x:v>
      </x:c>
      <x:c r="H102" s="14" t="str">
        <x:v>NSP scheme page</x:v>
      </x:c>
      <x:c r="I102" s="14" t="str"/>
      <x:c r="J102" s="14" t="str"/>
    </x:row>
    <x:row r="103">
      <x:c r="A103" s="14" t="str">
        <x:v>F102</x:v>
      </x:c>
      <x:c r="B103" s="14" t="str">
        <x:v>Career Mapping</x:v>
      </x:c>
      <x:c r="C103" s="14" t="str">
        <x:v>occupation_id</x:v>
      </x:c>
      <x:c r="D103" s="14" t="str">
        <x:v>Internal/NCO/NQR occupation identifier</x:v>
      </x:c>
      <x:c r="E103" s="14" t="str">
        <x:v>Reference</x:v>
      </x:c>
      <x:c r="F103" s="14" t="str">
        <x:v>Yes</x:v>
      </x:c>
      <x:c r="G103" s="14" t="str">
        <x:v>Medium</x:v>
      </x:c>
      <x:c r="H103" s="14" t="str">
        <x:v>NCO code</x:v>
      </x:c>
      <x:c r="I103" s="14" t="str"/>
      <x:c r="J103" s="14" t="str"/>
    </x:row>
    <x:row r="104">
      <x:c r="A104" s="14" t="str">
        <x:v>F103</x:v>
      </x:c>
      <x:c r="B104" s="14" t="str">
        <x:v>Career Mapping</x:v>
      </x:c>
      <x:c r="C104" s="14" t="str">
        <x:v>relationship_strength</x:v>
      </x:c>
      <x:c r="D104" s="14" t="str">
        <x:v>Direct, common, related or distant pathway</x:v>
      </x:c>
      <x:c r="E104" s="14" t="str">
        <x:v>Category</x:v>
      </x:c>
      <x:c r="F104" s="14" t="str">
        <x:v>Yes</x:v>
      </x:c>
      <x:c r="G104" s="14" t="str">
        <x:v>Medium</x:v>
      </x:c>
      <x:c r="H104" s="14" t="str">
        <x:v>Common pathway</x:v>
      </x:c>
      <x:c r="I104" s="14" t="str"/>
      <x:c r="J104" s="14" t="str"/>
    </x:row>
    <x:row r="105">
      <x:c r="A105" s="14" t="str">
        <x:v>F104</x:v>
      </x:c>
      <x:c r="B105" s="14" t="str">
        <x:v>Career Mapping</x:v>
      </x:c>
      <x:c r="C105" s="14" t="str">
        <x:v>direct_entry_possible</x:v>
      </x:c>
      <x:c r="D105" s="14" t="str">
        <x:v>Can graduates enter directly?</x:v>
      </x:c>
      <x:c r="E105" s="14" t="str">
        <x:v>Boolean</x:v>
      </x:c>
      <x:c r="F105" s="14" t="str">
        <x:v>Yes</x:v>
      </x:c>
      <x:c r="G105" s="14" t="str">
        <x:v>Medium</x:v>
      </x:c>
      <x:c r="H105" s="14" t="str">
        <x:v>TRUE</x:v>
      </x:c>
      <x:c r="I105" s="14" t="str"/>
      <x:c r="J105" s="14" t="str"/>
    </x:row>
    <x:row r="106">
      <x:c r="A106" s="14" t="str">
        <x:v>F105</x:v>
      </x:c>
      <x:c r="B106" s="14" t="str">
        <x:v>Career Mapping</x:v>
      </x:c>
      <x:c r="C106" s="14" t="str">
        <x:v>additional_degree_required</x:v>
      </x:c>
      <x:c r="D106" s="14" t="str">
        <x:v>Additional formal qualification required</x:v>
      </x:c>
      <x:c r="E106" s="14" t="str">
        <x:v>Text</x:v>
      </x:c>
      <x:c r="F106" s="14" t="str">
        <x:v>No</x:v>
      </x:c>
      <x:c r="G106" s="14" t="str">
        <x:v>High</x:v>
      </x:c>
      <x:c r="H106" s="14" t="str">
        <x:v>Master's degree</x:v>
      </x:c>
      <x:c r="I106" s="14" t="str"/>
      <x:c r="J106" s="14" t="str"/>
    </x:row>
    <x:row r="107">
      <x:c r="A107" s="14" t="str">
        <x:v>F106</x:v>
      </x:c>
      <x:c r="B107" s="14" t="str">
        <x:v>Career Mapping</x:v>
      </x:c>
      <x:c r="C107" s="14" t="str">
        <x:v>licence_required</x:v>
      </x:c>
      <x:c r="D107" s="14" t="str">
        <x:v>Professional registration/licence required</x:v>
      </x:c>
      <x:c r="E107" s="14" t="str">
        <x:v>Boolean/text</x:v>
      </x:c>
      <x:c r="F107" s="14" t="str">
        <x:v>No</x:v>
      </x:c>
      <x:c r="G107" s="14" t="str">
        <x:v>High</x:v>
      </x:c>
      <x:c r="H107" s="14" t="str">
        <x:v>Yes</x:v>
      </x:c>
      <x:c r="I107" s="14" t="str"/>
      <x:c r="J107" s="14" t="str"/>
    </x:row>
    <x:row r="108">
      <x:c r="A108" s="14" t="str">
        <x:v>F107</x:v>
      </x:c>
      <x:c r="B108" s="14" t="str">
        <x:v>Career Mapping</x:v>
      </x:c>
      <x:c r="C108" s="14" t="str">
        <x:v>preferred_skills</x:v>
      </x:c>
      <x:c r="D108" s="14" t="str">
        <x:v>Skills commonly expected</x:v>
      </x:c>
      <x:c r="E108" s="14" t="str">
        <x:v>Multi-reference</x:v>
      </x:c>
      <x:c r="F108" s="14" t="str">
        <x:v>No</x:v>
      </x:c>
      <x:c r="G108" s="14" t="str">
        <x:v>Medium</x:v>
      </x:c>
      <x:c r="H108" s="14" t="str">
        <x:v>Research; communication</x:v>
      </x:c>
      <x:c r="I108" s="14" t="str"/>
      <x:c r="J108" s="14" t="str"/>
    </x:row>
    <x:row r="109">
      <x:c r="A109" s="14" t="str">
        <x:v>F108</x:v>
      </x:c>
      <x:c r="B109" s="14" t="str">
        <x:v>Career Mapping</x:v>
      </x:c>
      <x:c r="C109" s="14" t="str">
        <x:v>typical_entry_role</x:v>
      </x:c>
      <x:c r="D109" s="14" t="str">
        <x:v>Typical first role</x:v>
      </x:c>
      <x:c r="E109" s="14" t="str">
        <x:v>Text</x:v>
      </x:c>
      <x:c r="F109" s="14" t="str">
        <x:v>No</x:v>
      </x:c>
      <x:c r="G109" s="14" t="str">
        <x:v>Medium</x:v>
      </x:c>
      <x:c r="H109" s="14" t="str">
        <x:v>Research Assistant</x:v>
      </x:c>
      <x:c r="I109" s="14" t="str"/>
      <x:c r="J109" s="14" t="str"/>
    </x:row>
    <x:row r="110">
      <x:c r="A110" s="14" t="str">
        <x:v>F109</x:v>
      </x:c>
      <x:c r="B110" s="14" t="str">
        <x:v>Career Mapping</x:v>
      </x:c>
      <x:c r="C110" s="14" t="str">
        <x:v>career_progression</x:v>
      </x:c>
      <x:c r="D110" s="14" t="str">
        <x:v>Typical progression route</x:v>
      </x:c>
      <x:c r="E110" s="14" t="str">
        <x:v>Text</x:v>
      </x:c>
      <x:c r="F110" s="14" t="str">
        <x:v>No</x:v>
      </x:c>
      <x:c r="G110" s="14" t="str">
        <x:v>Medium</x:v>
      </x:c>
      <x:c r="H110" s="14" t="str">
        <x:v>Assistant → Analyst → Lead</x:v>
      </x:c>
      <x:c r="I110" s="14" t="str"/>
      <x:c r="J110" s="14" t="str"/>
    </x:row>
    <x:row r="111">
      <x:c r="A111" s="14" t="str">
        <x:v>F110</x:v>
      </x:c>
      <x:c r="B111" s="14" t="str">
        <x:v>Career Mapping</x:v>
      </x:c>
      <x:c r="C111" s="14" t="str">
        <x:v>government_opportunities</x:v>
      </x:c>
      <x:c r="D111" s="14" t="str">
        <x:v>Relevant government pathways/exams</x:v>
      </x:c>
      <x:c r="E111" s="14" t="str">
        <x:v>Text</x:v>
      </x:c>
      <x:c r="F111" s="14" t="str">
        <x:v>No</x:v>
      </x:c>
      <x:c r="G111" s="14" t="str">
        <x:v>Medium</x:v>
      </x:c>
      <x:c r="H111" s="14" t="str">
        <x:v>UPSC/SSC/state recruitment</x:v>
      </x:c>
      <x:c r="I111" s="14" t="str"/>
      <x:c r="J111" s="14" t="str"/>
    </x:row>
    <x:row r="112">
      <x:c r="A112" s="14" t="str">
        <x:v>F111</x:v>
      </x:c>
      <x:c r="B112" s="14" t="str">
        <x:v>Career Mapping</x:v>
      </x:c>
      <x:c r="C112" s="14" t="str">
        <x:v>self_employment_possible</x:v>
      </x:c>
      <x:c r="D112" s="14" t="str">
        <x:v>Whether self-employment is common/legal</x:v>
      </x:c>
      <x:c r="E112" s="14" t="str">
        <x:v>Boolean/text</x:v>
      </x:c>
      <x:c r="F112" s="14" t="str">
        <x:v>No</x:v>
      </x:c>
      <x:c r="G112" s="14" t="str">
        <x:v>High</x:v>
      </x:c>
      <x:c r="H112" s="14" t="str">
        <x:v>Possible after licence</x:v>
      </x:c>
      <x:c r="I112" s="14" t="str"/>
      <x:c r="J112" s="14" t="str"/>
    </x:row>
    <x:row r="113">
      <x:c r="A113" s="14" t="str">
        <x:v>F112</x:v>
      </x:c>
      <x:c r="B113" s="14" t="str">
        <x:v>Salary</x:v>
      </x:c>
      <x:c r="C113" s="14" t="str">
        <x:v>salary_course</x:v>
      </x:c>
      <x:c r="D113" s="14" t="str">
        <x:v>Related course/qualification</x:v>
      </x:c>
      <x:c r="E113" s="14" t="str">
        <x:v>Reference</x:v>
      </x:c>
      <x:c r="F113" s="14" t="str">
        <x:v>Yes</x:v>
      </x:c>
      <x:c r="G113" s="14" t="str">
        <x:v>Medium</x:v>
      </x:c>
      <x:c r="H113" s="14" t="str">
        <x:v>BSc Psychology</x:v>
      </x:c>
      <x:c r="I113" s="14" t="str"/>
      <x:c r="J113" s="14" t="str"/>
    </x:row>
    <x:row r="114">
      <x:c r="A114" s="14" t="str">
        <x:v>F113</x:v>
      </x:c>
      <x:c r="B114" s="14" t="str">
        <x:v>Salary</x:v>
      </x:c>
      <x:c r="C114" s="14" t="str">
        <x:v>salary_job_role</x:v>
      </x:c>
      <x:c r="D114" s="14" t="str">
        <x:v>Role linked to the salary</x:v>
      </x:c>
      <x:c r="E114" s="14" t="str">
        <x:v>Reference</x:v>
      </x:c>
      <x:c r="F114" s="14" t="str">
        <x:v>Yes</x:v>
      </x:c>
      <x:c r="G114" s="14" t="str">
        <x:v>High</x:v>
      </x:c>
      <x:c r="H114" s="14" t="str">
        <x:v>HR Associate</x:v>
      </x:c>
      <x:c r="I114" s="14" t="str"/>
      <x:c r="J114" s="14" t="str"/>
    </x:row>
    <x:row r="115">
      <x:c r="A115" s="14" t="str">
        <x:v>F114</x:v>
      </x:c>
      <x:c r="B115" s="14" t="str">
        <x:v>Salary</x:v>
      </x:c>
      <x:c r="C115" s="14" t="str">
        <x:v>qualification_level</x:v>
      </x:c>
      <x:c r="D115" s="14" t="str">
        <x:v>Qualification level used in sample</x:v>
      </x:c>
      <x:c r="E115" s="14" t="str">
        <x:v>Category</x:v>
      </x:c>
      <x:c r="F115" s="14" t="str">
        <x:v>Yes</x:v>
      </x:c>
      <x:c r="G115" s="14" t="str">
        <x:v>Medium</x:v>
      </x:c>
      <x:c r="H115" s="14" t="str">
        <x:v>Bachelor's</x:v>
      </x:c>
      <x:c r="I115" s="14" t="str"/>
      <x:c r="J115" s="14" t="str"/>
    </x:row>
    <x:row r="116">
      <x:c r="A116" s="14" t="str">
        <x:v>F115</x:v>
      </x:c>
      <x:c r="B116" s="14" t="str">
        <x:v>Salary</x:v>
      </x:c>
      <x:c r="C116" s="14" t="str">
        <x:v>experience_level</x:v>
      </x:c>
      <x:c r="D116" s="14" t="str">
        <x:v>Fresher/early/mid/senior</x:v>
      </x:c>
      <x:c r="E116" s="14" t="str">
        <x:v>Category</x:v>
      </x:c>
      <x:c r="F116" s="14" t="str">
        <x:v>Yes</x:v>
      </x:c>
      <x:c r="G116" s="14" t="str">
        <x:v>High</x:v>
      </x:c>
      <x:c r="H116" s="14" t="str">
        <x:v>0–2 years</x:v>
      </x:c>
      <x:c r="I116" s="14" t="str"/>
      <x:c r="J116" s="14" t="str"/>
    </x:row>
    <x:row r="117">
      <x:c r="A117" s="14" t="str">
        <x:v>F116</x:v>
      </x:c>
      <x:c r="B117" s="14" t="str">
        <x:v>Salary</x:v>
      </x:c>
      <x:c r="C117" s="14" t="str">
        <x:v>city_or_region</x:v>
      </x:c>
      <x:c r="D117" s="14" t="str">
        <x:v>Location scope</x:v>
      </x:c>
      <x:c r="E117" s="14" t="str">
        <x:v>Text</x:v>
      </x:c>
      <x:c r="F117" s="14" t="str">
        <x:v>Yes</x:v>
      </x:c>
      <x:c r="G117" s="14" t="str">
        <x:v>High</x:v>
      </x:c>
      <x:c r="H117" s="14" t="str">
        <x:v>India / Bengaluru</x:v>
      </x:c>
      <x:c r="I117" s="14" t="str"/>
      <x:c r="J117" s="14" t="str"/>
    </x:row>
    <x:row r="118">
      <x:c r="A118" s="14" t="str">
        <x:v>F117</x:v>
      </x:c>
      <x:c r="B118" s="14" t="str">
        <x:v>Salary</x:v>
      </x:c>
      <x:c r="C118" s="14" t="str">
        <x:v>industry</x:v>
      </x:c>
      <x:c r="D118" s="14" t="str">
        <x:v>Industry context</x:v>
      </x:c>
      <x:c r="E118" s="14" t="str">
        <x:v>Category</x:v>
      </x:c>
      <x:c r="F118" s="14" t="str">
        <x:v>No</x:v>
      </x:c>
      <x:c r="G118" s="14" t="str">
        <x:v>Medium</x:v>
      </x:c>
      <x:c r="H118" s="14" t="str">
        <x:v>HR consulting</x:v>
      </x:c>
      <x:c r="I118" s="14" t="str"/>
      <x:c r="J118" s="14" t="str"/>
    </x:row>
    <x:row r="119">
      <x:c r="A119" s="14" t="str">
        <x:v>F118</x:v>
      </x:c>
      <x:c r="B119" s="14" t="str">
        <x:v>Salary</x:v>
      </x:c>
      <x:c r="C119" s="14" t="str">
        <x:v>salary_type</x:v>
      </x:c>
      <x:c r="D119" s="14" t="str">
        <x:v>CTC, fixed, median, average, range, stipend</x:v>
      </x:c>
      <x:c r="E119" s="14" t="str">
        <x:v>Category</x:v>
      </x:c>
      <x:c r="F119" s="14" t="str">
        <x:v>Yes</x:v>
      </x:c>
      <x:c r="G119" s="14" t="str">
        <x:v>High</x:v>
      </x:c>
      <x:c r="H119" s="14" t="str">
        <x:v>Annual CTC</x:v>
      </x:c>
      <x:c r="I119" s="14" t="str"/>
      <x:c r="J119" s="14" t="str"/>
    </x:row>
    <x:row r="120">
      <x:c r="A120" s="14" t="str">
        <x:v>F119</x:v>
      </x:c>
      <x:c r="B120" s="14" t="str">
        <x:v>Salary</x:v>
      </x:c>
      <x:c r="C120" s="14" t="str">
        <x:v>salary_min</x:v>
      </x:c>
      <x:c r="D120" s="14" t="str">
        <x:v>Lower observed value</x:v>
      </x:c>
      <x:c r="E120" s="14" t="str">
        <x:v>Currency</x:v>
      </x:c>
      <x:c r="F120" s="14" t="str">
        <x:v>No</x:v>
      </x:c>
      <x:c r="G120" s="14" t="str">
        <x:v>High</x:v>
      </x:c>
      <x:c r="H120" s="14" t="str">
        <x:v>₹2.5 LPA</x:v>
      </x:c>
      <x:c r="I120" s="14" t="str"/>
      <x:c r="J120" s="14" t="str"/>
    </x:row>
    <x:row r="121">
      <x:c r="A121" s="14" t="str">
        <x:v>F120</x:v>
      </x:c>
      <x:c r="B121" s="14" t="str">
        <x:v>Salary</x:v>
      </x:c>
      <x:c r="C121" s="14" t="str">
        <x:v>salary_average</x:v>
      </x:c>
      <x:c r="D121" s="14" t="str">
        <x:v>Average/median observed value</x:v>
      </x:c>
      <x:c r="E121" s="14" t="str">
        <x:v>Currency</x:v>
      </x:c>
      <x:c r="F121" s="14" t="str">
        <x:v>No</x:v>
      </x:c>
      <x:c r="G121" s="14" t="str">
        <x:v>High</x:v>
      </x:c>
      <x:c r="H121" s="14" t="str">
        <x:v>₹4.2 LPA</x:v>
      </x:c>
      <x:c r="I121" s="14" t="str"/>
      <x:c r="J121" s="14" t="str"/>
    </x:row>
    <x:row r="122">
      <x:c r="A122" s="14" t="str">
        <x:v>F121</x:v>
      </x:c>
      <x:c r="B122" s="14" t="str">
        <x:v>Salary</x:v>
      </x:c>
      <x:c r="C122" s="14" t="str">
        <x:v>salary_max</x:v>
      </x:c>
      <x:c r="D122" s="14" t="str">
        <x:v>Higher observed value</x:v>
      </x:c>
      <x:c r="E122" s="14" t="str">
        <x:v>Currency</x:v>
      </x:c>
      <x:c r="F122" s="14" t="str">
        <x:v>No</x:v>
      </x:c>
      <x:c r="G122" s="14" t="str">
        <x:v>High</x:v>
      </x:c>
      <x:c r="H122" s="14" t="str">
        <x:v>₹8 LPA</x:v>
      </x:c>
      <x:c r="I122" s="14" t="str"/>
      <x:c r="J122" s="14" t="str"/>
    </x:row>
    <x:row r="123">
      <x:c r="A123" s="14" t="str">
        <x:v>F122</x:v>
      </x:c>
      <x:c r="B123" s="14" t="str">
        <x:v>Salary</x:v>
      </x:c>
      <x:c r="C123" s="14" t="str">
        <x:v>sample_size</x:v>
      </x:c>
      <x:c r="D123" s="14" t="str">
        <x:v>Number of observations/offers</x:v>
      </x:c>
      <x:c r="E123" s="14" t="str">
        <x:v>Integer</x:v>
      </x:c>
      <x:c r="F123" s="14" t="str">
        <x:v>No</x:v>
      </x:c>
      <x:c r="G123" s="14" t="str">
        <x:v>High</x:v>
      </x:c>
      <x:c r="H123" s="14" t="str">
        <x:v>125</x:v>
      </x:c>
      <x:c r="I123" s="14" t="str"/>
      <x:c r="J123" s="14" t="str"/>
    </x:row>
    <x:row r="124">
      <x:c r="A124" s="14" t="str">
        <x:v>F123</x:v>
      </x:c>
      <x:c r="B124" s="14" t="str">
        <x:v>Salary</x:v>
      </x:c>
      <x:c r="C124" s="14" t="str">
        <x:v>salary_source_year</x:v>
      </x:c>
      <x:c r="D124" s="14" t="str">
        <x:v>Source period/year</x:v>
      </x:c>
      <x:c r="E124" s="14" t="str">
        <x:v>Year/range</x:v>
      </x:c>
      <x:c r="F124" s="14" t="str">
        <x:v>Yes</x:v>
      </x:c>
      <x:c r="G124" s="14" t="str">
        <x:v>High</x:v>
      </x:c>
      <x:c r="H124" s="14" t="str">
        <x:v>2025–26</x:v>
      </x:c>
      <x:c r="I124" s="14" t="str"/>
      <x:c r="J124" s="14" t="str"/>
    </x:row>
    <x:row r="125">
      <x:c r="A125" s="14" t="str">
        <x:v>F124</x:v>
      </x:c>
      <x:c r="B125" s="14" t="str">
        <x:v>Recruiters &amp; Placement</x:v>
      </x:c>
      <x:c r="C125" s="14" t="str">
        <x:v>placement_institution</x:v>
      </x:c>
      <x:c r="D125" s="14" t="str">
        <x:v>Institution linked to evidence</x:v>
      </x:c>
      <x:c r="E125" s="14" t="str">
        <x:v>Reference</x:v>
      </x:c>
      <x:c r="F125" s="14" t="str">
        <x:v>Yes</x:v>
      </x:c>
      <x:c r="G125" s="14" t="str">
        <x:v>High</x:v>
      </x:c>
      <x:c r="H125" s="14" t="str">
        <x:v>Example University</x:v>
      </x:c>
      <x:c r="I125" s="14" t="str"/>
      <x:c r="J125" s="14" t="str"/>
    </x:row>
    <x:row r="126">
      <x:c r="A126" s="14" t="str">
        <x:v>F125</x:v>
      </x:c>
      <x:c r="B126" s="14" t="str">
        <x:v>Recruiters &amp; Placement</x:v>
      </x:c>
      <x:c r="C126" s="14" t="str">
        <x:v>course_or_department</x:v>
      </x:c>
      <x:c r="D126" s="14" t="str">
        <x:v>Programme/department scope</x:v>
      </x:c>
      <x:c r="E126" s="14" t="str">
        <x:v>Reference</x:v>
      </x:c>
      <x:c r="F126" s="14" t="str">
        <x:v>No</x:v>
      </x:c>
      <x:c r="G126" s="14" t="str">
        <x:v>High</x:v>
      </x:c>
      <x:c r="H126" s="14" t="str">
        <x:v>Department of Psychology</x:v>
      </x:c>
      <x:c r="I126" s="14" t="str"/>
      <x:c r="J126" s="14" t="str"/>
    </x:row>
    <x:row r="127">
      <x:c r="A127" s="14" t="str">
        <x:v>F126</x:v>
      </x:c>
      <x:c r="B127" s="14" t="str">
        <x:v>Recruiters &amp; Placement</x:v>
      </x:c>
      <x:c r="C127" s="14" t="str">
        <x:v>recruiter_name</x:v>
      </x:c>
      <x:c r="D127" s="14" t="str">
        <x:v>Official employer name</x:v>
      </x:c>
      <x:c r="E127" s="14" t="str">
        <x:v>Text</x:v>
      </x:c>
      <x:c r="F127" s="14" t="str">
        <x:v>Yes</x:v>
      </x:c>
      <x:c r="G127" s="14" t="str">
        <x:v>High</x:v>
      </x:c>
      <x:c r="H127" s="14" t="str">
        <x:v>Company XYZ</x:v>
      </x:c>
      <x:c r="I127" s="14" t="str"/>
      <x:c r="J127" s="14" t="str"/>
    </x:row>
    <x:row r="128">
      <x:c r="A128" s="14" t="str">
        <x:v>F127</x:v>
      </x:c>
      <x:c r="B128" s="14" t="str">
        <x:v>Recruiters &amp; Placement</x:v>
      </x:c>
      <x:c r="C128" s="14" t="str">
        <x:v>role_recruited_for</x:v>
      </x:c>
      <x:c r="D128" s="14" t="str">
        <x:v>Role or role family</x:v>
      </x:c>
      <x:c r="E128" s="14" t="str">
        <x:v>Text</x:v>
      </x:c>
      <x:c r="F128" s="14" t="str">
        <x:v>No</x:v>
      </x:c>
      <x:c r="G128" s="14" t="str">
        <x:v>High</x:v>
      </x:c>
      <x:c r="H128" s="14" t="str">
        <x:v>Research Associate</x:v>
      </x:c>
      <x:c r="I128" s="14" t="str"/>
      <x:c r="J128" s="14" t="str"/>
    </x:row>
    <x:row r="129">
      <x:c r="A129" s="14" t="str">
        <x:v>F128</x:v>
      </x:c>
      <x:c r="B129" s="14" t="str">
        <x:v>Recruiters &amp; Placement</x:v>
      </x:c>
      <x:c r="C129" s="14" t="str">
        <x:v>placement_year</x:v>
      </x:c>
      <x:c r="D129" s="14" t="str">
        <x:v>Graduation/placement year</x:v>
      </x:c>
      <x:c r="E129" s="14" t="str">
        <x:v>Year</x:v>
      </x:c>
      <x:c r="F129" s="14" t="str">
        <x:v>Yes</x:v>
      </x:c>
      <x:c r="G129" s="14" t="str">
        <x:v>High</x:v>
      </x:c>
      <x:c r="H129" s="14" t="str">
        <x:v>2026</x:v>
      </x:c>
      <x:c r="I129" s="14" t="str"/>
      <x:c r="J129" s="14" t="str"/>
    </x:row>
    <x:row r="130">
      <x:c r="A130" s="14" t="str">
        <x:v>F129</x:v>
      </x:c>
      <x:c r="B130" s="14" t="str">
        <x:v>Recruiters &amp; Placement</x:v>
      </x:c>
      <x:c r="C130" s="14" t="str">
        <x:v>number_hired</x:v>
      </x:c>
      <x:c r="D130" s="14" t="str">
        <x:v>Number hired if officially reported</x:v>
      </x:c>
      <x:c r="E130" s="14" t="str">
        <x:v>Integer</x:v>
      </x:c>
      <x:c r="F130" s="14" t="str">
        <x:v>No</x:v>
      </x:c>
      <x:c r="G130" s="14" t="str">
        <x:v>High</x:v>
      </x:c>
      <x:c r="H130" s="14" t="str">
        <x:v>5</x:v>
      </x:c>
      <x:c r="I130" s="14" t="str"/>
      <x:c r="J130" s="14" t="str"/>
    </x:row>
    <x:row r="131">
      <x:c r="A131" s="14" t="str">
        <x:v>F130</x:v>
      </x:c>
      <x:c r="B131" s="14" t="str">
        <x:v>Recruiters &amp; Placement</x:v>
      </x:c>
      <x:c r="C131" s="14" t="str">
        <x:v>placement_scope</x:v>
      </x:c>
      <x:c r="D131" s="14" t="str">
        <x:v>Course/department/institution-wide</x:v>
      </x:c>
      <x:c r="E131" s="14" t="str">
        <x:v>Category</x:v>
      </x:c>
      <x:c r="F131" s="14" t="str">
        <x:v>Yes</x:v>
      </x:c>
      <x:c r="G131" s="14" t="str">
        <x:v>High</x:v>
      </x:c>
      <x:c r="H131" s="14" t="str">
        <x:v>Department</x:v>
      </x:c>
      <x:c r="I131" s="14" t="str"/>
      <x:c r="J131" s="14" t="str"/>
    </x:row>
    <x:row r="132">
      <x:c r="A132" s="14" t="str">
        <x:v>F131</x:v>
      </x:c>
      <x:c r="B132" s="14" t="str">
        <x:v>Recruiters &amp; Placement</x:v>
      </x:c>
      <x:c r="C132" s="14" t="str">
        <x:v>official_report</x:v>
      </x:c>
      <x:c r="D132" s="14" t="str">
        <x:v>Placement report URL/page</x:v>
      </x:c>
      <x:c r="E132" s="14" t="str">
        <x:v>URL/reference</x:v>
      </x:c>
      <x:c r="F132" s="14" t="str">
        <x:v>Yes</x:v>
      </x:c>
      <x:c r="G132" s="14" t="str">
        <x:v>High</x:v>
      </x:c>
      <x:c r="H132" s="14" t="str">
        <x:v>Official PDF page 18</x:v>
      </x:c>
      <x:c r="I132" s="14" t="str"/>
      <x:c r="J132" s="14" t="str"/>
    </x:row>
    <x:row r="133">
      <x:c r="A133" s="14" t="str">
        <x:v>F132</x:v>
      </x:c>
      <x:c r="B133" s="14" t="str">
        <x:v>Recruiters &amp; Placement</x:v>
      </x:c>
      <x:c r="C133" s="14" t="str">
        <x:v>verified_status</x:v>
      </x:c>
      <x:c r="D133" s="14" t="str">
        <x:v>Verification workflow status</x:v>
      </x:c>
      <x:c r="E133" s="14" t="str">
        <x:v>Category</x:v>
      </x:c>
      <x:c r="F133" s="14" t="str">
        <x:v>Yes</x:v>
      </x:c>
      <x:c r="G133" s="14" t="str">
        <x:v>High</x:v>
      </x:c>
      <x:c r="H133" s="14" t="str">
        <x:v>Human verified</x:v>
      </x:c>
      <x:c r="I133" s="14" t="str"/>
      <x:c r="J133" s="14" t="str"/>
    </x:row>
    <x:row r="134">
      <x:c r="A134" s="14" t="str">
        <x:v>F133</x:v>
      </x:c>
      <x:c r="B134" s="14" t="str">
        <x:v>Internships</x:v>
      </x:c>
      <x:c r="C134" s="14" t="str">
        <x:v>opportunity_type</x:v>
      </x:c>
      <x:c r="D134" s="14" t="str">
        <x:v>Internship/apprenticeship/fieldwork</x:v>
      </x:c>
      <x:c r="E134" s="14" t="str">
        <x:v>Category</x:v>
      </x:c>
      <x:c r="F134" s="14" t="str">
        <x:v>Yes</x:v>
      </x:c>
      <x:c r="G134" s="14" t="str">
        <x:v>High</x:v>
      </x:c>
      <x:c r="H134" s="14" t="str">
        <x:v>Internship</x:v>
      </x:c>
      <x:c r="I134" s="14" t="str"/>
      <x:c r="J134" s="14" t="str"/>
    </x:row>
    <x:row r="135">
      <x:c r="A135" s="14" t="str">
        <x:v>F134</x:v>
      </x:c>
      <x:c r="B135" s="14" t="str">
        <x:v>Internships</x:v>
      </x:c>
      <x:c r="C135" s="14" t="str">
        <x:v>eligible_courses</x:v>
      </x:c>
      <x:c r="D135" s="14" t="str">
        <x:v>Eligible course IDs</x:v>
      </x:c>
      <x:c r="E135" s="14" t="str">
        <x:v>Multi-reference</x:v>
      </x:c>
      <x:c r="F135" s="14" t="str">
        <x:v>Yes</x:v>
      </x:c>
      <x:c r="G135" s="14" t="str">
        <x:v>High</x:v>
      </x:c>
      <x:c r="H135" s="14" t="str">
        <x:v>BSc Psychology</x:v>
      </x:c>
      <x:c r="I135" s="14" t="str"/>
      <x:c r="J135" s="14" t="str"/>
    </x:row>
    <x:row r="136">
      <x:c r="A136" s="14" t="str">
        <x:v>F135</x:v>
      </x:c>
      <x:c r="B136" s="14" t="str">
        <x:v>Internships</x:v>
      </x:c>
      <x:c r="C136" s="14" t="str">
        <x:v>minimum_year</x:v>
      </x:c>
      <x:c r="D136" s="14" t="str">
        <x:v>Minimum year/semester</x:v>
      </x:c>
      <x:c r="E136" s="14" t="str">
        <x:v>Text</x:v>
      </x:c>
      <x:c r="F136" s="14" t="str">
        <x:v>No</x:v>
      </x:c>
      <x:c r="G136" s="14" t="str">
        <x:v>High</x:v>
      </x:c>
      <x:c r="H136" s="14" t="str">
        <x:v>Second year</x:v>
      </x:c>
      <x:c r="I136" s="14" t="str"/>
      <x:c r="J136" s="14" t="str"/>
    </x:row>
    <x:row r="137">
      <x:c r="A137" s="14" t="str">
        <x:v>F136</x:v>
      </x:c>
      <x:c r="B137" s="14" t="str">
        <x:v>Internships</x:v>
      </x:c>
      <x:c r="C137" s="14" t="str">
        <x:v>duration</x:v>
      </x:c>
      <x:c r="D137" s="14" t="str">
        <x:v>Opportunity duration</x:v>
      </x:c>
      <x:c r="E137" s="14" t="str">
        <x:v>Text</x:v>
      </x:c>
      <x:c r="F137" s="14" t="str">
        <x:v>No</x:v>
      </x:c>
      <x:c r="G137" s="14" t="str">
        <x:v>High</x:v>
      </x:c>
      <x:c r="H137" s="14" t="str">
        <x:v>8 weeks</x:v>
      </x:c>
      <x:c r="I137" s="14" t="str"/>
      <x:c r="J137" s="14" t="str"/>
    </x:row>
    <x:row r="138">
      <x:c r="A138" s="14" t="str">
        <x:v>F137</x:v>
      </x:c>
      <x:c r="B138" s="14" t="str">
        <x:v>Internships</x:v>
      </x:c>
      <x:c r="C138" s="14" t="str">
        <x:v>paid_or_unpaid</x:v>
      </x:c>
      <x:c r="D138" s="14" t="str">
        <x:v>Payment status</x:v>
      </x:c>
      <x:c r="E138" s="14" t="str">
        <x:v>Category</x:v>
      </x:c>
      <x:c r="F138" s="14" t="str">
        <x:v>No</x:v>
      </x:c>
      <x:c r="G138" s="14" t="str">
        <x:v>High</x:v>
      </x:c>
      <x:c r="H138" s="14" t="str">
        <x:v>Paid</x:v>
      </x:c>
      <x:c r="I138" s="14" t="str"/>
      <x:c r="J138" s="14" t="str"/>
    </x:row>
    <x:row r="139">
      <x:c r="A139" s="14" t="str">
        <x:v>F138</x:v>
      </x:c>
      <x:c r="B139" s="14" t="str">
        <x:v>Internships</x:v>
      </x:c>
      <x:c r="C139" s="14" t="str">
        <x:v>stipend</x:v>
      </x:c>
      <x:c r="D139" s="14" t="str">
        <x:v>Stipend amount</x:v>
      </x:c>
      <x:c r="E139" s="14" t="str">
        <x:v>Currency</x:v>
      </x:c>
      <x:c r="F139" s="14" t="str">
        <x:v>No</x:v>
      </x:c>
      <x:c r="G139" s="14" t="str">
        <x:v>High</x:v>
      </x:c>
      <x:c r="H139" s="14" t="str">
        <x:v>₹10,000/month</x:v>
      </x:c>
      <x:c r="I139" s="14" t="str"/>
      <x:c r="J139" s="14" t="str"/>
    </x:row>
    <x:row r="140">
      <x:c r="A140" s="14" t="str">
        <x:v>F139</x:v>
      </x:c>
      <x:c r="B140" s="14" t="str">
        <x:v>Internships</x:v>
      </x:c>
      <x:c r="C140" s="14" t="str">
        <x:v>location</x:v>
      </x:c>
      <x:c r="D140" s="14" t="str">
        <x:v>Work location/mode</x:v>
      </x:c>
      <x:c r="E140" s="14" t="str">
        <x:v>Text</x:v>
      </x:c>
      <x:c r="F140" s="14" t="str">
        <x:v>No</x:v>
      </x:c>
      <x:c r="G140" s="14" t="str">
        <x:v>High</x:v>
      </x:c>
      <x:c r="H140" s="14" t="str">
        <x:v>Kochi / hybrid</x:v>
      </x:c>
      <x:c r="I140" s="14" t="str"/>
      <x:c r="J140" s="14" t="str"/>
    </x:row>
    <x:row r="141">
      <x:c r="A141" s="14" t="str">
        <x:v>F140</x:v>
      </x:c>
      <x:c r="B141" s="14" t="str">
        <x:v>Internships</x:v>
      </x:c>
      <x:c r="C141" s="14" t="str">
        <x:v>provider</x:v>
      </x:c>
      <x:c r="D141" s="14" t="str">
        <x:v>Organisation offering opportunity</x:v>
      </x:c>
      <x:c r="E141" s="14" t="str">
        <x:v>Reference</x:v>
      </x:c>
      <x:c r="F141" s="14" t="str">
        <x:v>Yes</x:v>
      </x:c>
      <x:c r="G141" s="14" t="str">
        <x:v>High</x:v>
      </x:c>
      <x:c r="H141" s="14" t="str">
        <x:v>Company ABC</x:v>
      </x:c>
      <x:c r="I141" s="14" t="str"/>
      <x:c r="J141" s="14" t="str"/>
    </x:row>
    <x:row r="142">
      <x:c r="A142" s="14" t="str">
        <x:v>F141</x:v>
      </x:c>
      <x:c r="B142" s="14" t="str">
        <x:v>Internships</x:v>
      </x:c>
      <x:c r="C142" s="14" t="str">
        <x:v>application_deadline</x:v>
      </x:c>
      <x:c r="D142" s="14" t="str">
        <x:v>Deadline</x:v>
      </x:c>
      <x:c r="E142" s="14" t="str">
        <x:v>Date</x:v>
      </x:c>
      <x:c r="F142" s="14" t="str">
        <x:v>No</x:v>
      </x:c>
      <x:c r="G142" s="14" t="str">
        <x:v>High</x:v>
      </x:c>
      <x:c r="H142" s="14" t="str">
        <x:v>2026-09-15</x:v>
      </x:c>
      <x:c r="I142" s="14" t="str"/>
      <x:c r="J142" s="14" t="str"/>
    </x:row>
    <x:row r="143">
      <x:c r="A143" s="14" t="str">
        <x:v>F142</x:v>
      </x:c>
      <x:c r="B143" s="14" t="str">
        <x:v>Internships</x:v>
      </x:c>
      <x:c r="C143" s="14" t="str">
        <x:v>opportunity_status</x:v>
      </x:c>
      <x:c r="D143" s="14" t="str">
        <x:v>Open/closed/expired</x:v>
      </x:c>
      <x:c r="E143" s="14" t="str">
        <x:v>Category</x:v>
      </x:c>
      <x:c r="F143" s="14" t="str">
        <x:v>Yes</x:v>
      </x:c>
      <x:c r="G143" s="14" t="str">
        <x:v>High</x:v>
      </x:c>
      <x:c r="H143" s="14" t="str">
        <x:v>Open</x:v>
      </x:c>
      <x:c r="I143" s="14" t="str"/>
      <x:c r="J143" s="14" t="str"/>
    </x:row>
    <x:row r="144">
      <x:c r="A144" s="14" t="str">
        <x:v>F143</x:v>
      </x:c>
      <x:c r="B144" s="14" t="str">
        <x:v>Source Registry</x:v>
      </x:c>
      <x:c r="C144" s="14" t="str">
        <x:v>source_id</x:v>
      </x:c>
      <x:c r="D144" s="14" t="str">
        <x:v>Unique internal source identifier</x:v>
      </x:c>
      <x:c r="E144" s="14" t="str">
        <x:v>ID</x:v>
      </x:c>
      <x:c r="F144" s="14" t="str">
        <x:v>Yes</x:v>
      </x:c>
      <x:c r="G144" s="14" t="str">
        <x:v>Low</x:v>
      </x:c>
      <x:c r="H144" s="14" t="str">
        <x:v>SRC-000123</x:v>
      </x:c>
      <x:c r="I144" s="14" t="str"/>
      <x:c r="J144" s="14" t="str"/>
    </x:row>
    <x:row r="145">
      <x:c r="A145" s="14" t="str">
        <x:v>F144</x:v>
      </x:c>
      <x:c r="B145" s="14" t="str">
        <x:v>Source Registry</x:v>
      </x:c>
      <x:c r="C145" s="14" t="str">
        <x:v>source_name</x:v>
      </x:c>
      <x:c r="D145" s="14" t="str">
        <x:v>Source organisation/site</x:v>
      </x:c>
      <x:c r="E145" s="14" t="str">
        <x:v>Text</x:v>
      </x:c>
      <x:c r="F145" s="14" t="str">
        <x:v>Yes</x:v>
      </x:c>
      <x:c r="G145" s="14" t="str">
        <x:v>Low</x:v>
      </x:c>
      <x:c r="H145" s="14" t="str">
        <x:v>UGC</x:v>
      </x:c>
      <x:c r="I145" s="14" t="str"/>
      <x:c r="J145" s="14" t="str"/>
    </x:row>
    <x:row r="146">
      <x:c r="A146" s="14" t="str">
        <x:v>F145</x:v>
      </x:c>
      <x:c r="B146" s="14" t="str">
        <x:v>Source Registry</x:v>
      </x:c>
      <x:c r="C146" s="14" t="str">
        <x:v>source_authority</x:v>
      </x:c>
      <x:c r="D146" s="14" t="str">
        <x:v>Government/regulator/institution/commercial/user</x:v>
      </x:c>
      <x:c r="E146" s="14" t="str">
        <x:v>Category</x:v>
      </x:c>
      <x:c r="F146" s="14" t="str">
        <x:v>Yes</x:v>
      </x:c>
      <x:c r="G146" s="14" t="str">
        <x:v>Low</x:v>
      </x:c>
      <x:c r="H146" s="14" t="str">
        <x:v>Statutory regulator</x:v>
      </x:c>
      <x:c r="I146" s="14" t="str"/>
      <x:c r="J146" s="14" t="str"/>
    </x:row>
    <x:row r="147">
      <x:c r="A147" s="14" t="str">
        <x:v>F146</x:v>
      </x:c>
      <x:c r="B147" s="14" t="str">
        <x:v>Source Registry</x:v>
      </x:c>
      <x:c r="C147" s="14" t="str">
        <x:v>source_tier</x:v>
      </x:c>
      <x:c r="D147" s="14" t="str">
        <x:v>A–F authority tier</x:v>
      </x:c>
      <x:c r="E147" s="14" t="str">
        <x:v>Category</x:v>
      </x:c>
      <x:c r="F147" s="14" t="str">
        <x:v>Yes</x:v>
      </x:c>
      <x:c r="G147" s="14" t="str">
        <x:v>Low</x:v>
      </x:c>
      <x:c r="H147" s="14" t="str">
        <x:v>Tier A</x:v>
      </x:c>
      <x:c r="I147" s="14" t="str"/>
      <x:c r="J147" s="14" t="str"/>
    </x:row>
    <x:row r="148">
      <x:c r="A148" s="14" t="str">
        <x:v>F147</x:v>
      </x:c>
      <x:c r="B148" s="14" t="str">
        <x:v>Source Registry</x:v>
      </x:c>
      <x:c r="C148" s="14" t="str">
        <x:v>source_url</x:v>
      </x:c>
      <x:c r="D148" s="14" t="str">
        <x:v>Original URL</x:v>
      </x:c>
      <x:c r="E148" s="14" t="str">
        <x:v>URL</x:v>
      </x:c>
      <x:c r="F148" s="14" t="str">
        <x:v>Yes</x:v>
      </x:c>
      <x:c r="G148" s="14" t="str">
        <x:v>High</x:v>
      </x:c>
      <x:c r="H148" s="14" t="str">
        <x:v>https://...</x:v>
      </x:c>
      <x:c r="I148" s="14" t="str"/>
      <x:c r="J148" s="14" t="str"/>
    </x:row>
    <x:row r="149">
      <x:c r="A149" s="14" t="str">
        <x:v>F148</x:v>
      </x:c>
      <x:c r="B149" s="14" t="str">
        <x:v>Source Registry</x:v>
      </x:c>
      <x:c r="C149" s="14" t="str">
        <x:v>document_title</x:v>
      </x:c>
      <x:c r="D149" s="14" t="str">
        <x:v>Page/PDF title</x:v>
      </x:c>
      <x:c r="E149" s="14" t="str">
        <x:v>Text</x:v>
      </x:c>
      <x:c r="F149" s="14" t="str">
        <x:v>Yes</x:v>
      </x:c>
      <x:c r="G149" s="14" t="str">
        <x:v>Medium</x:v>
      </x:c>
      <x:c r="H149" s="14" t="str">
        <x:v>2026 Admission Prospectus</x:v>
      </x:c>
      <x:c r="I149" s="14" t="str"/>
      <x:c r="J149" s="14" t="str"/>
    </x:row>
    <x:row r="150">
      <x:c r="A150" s="14" t="str">
        <x:v>F149</x:v>
      </x:c>
      <x:c r="B150" s="14" t="str">
        <x:v>Source Registry</x:v>
      </x:c>
      <x:c r="C150" s="14" t="str">
        <x:v>publication_date</x:v>
      </x:c>
      <x:c r="D150" s="14" t="str">
        <x:v>Official publication date</x:v>
      </x:c>
      <x:c r="E150" s="14" t="str">
        <x:v>Date</x:v>
      </x:c>
      <x:c r="F150" s="14" t="str">
        <x:v>No</x:v>
      </x:c>
      <x:c r="G150" s="14" t="str">
        <x:v>High</x:v>
      </x:c>
      <x:c r="H150" s="14" t="str">
        <x:v>2026-02-20</x:v>
      </x:c>
      <x:c r="I150" s="14" t="str"/>
      <x:c r="J150" s="14" t="str"/>
    </x:row>
    <x:row r="151">
      <x:c r="A151" s="14" t="str">
        <x:v>F150</x:v>
      </x:c>
      <x:c r="B151" s="14" t="str">
        <x:v>Source Registry</x:v>
      </x:c>
      <x:c r="C151" s="14" t="str">
        <x:v>academic_year</x:v>
      </x:c>
      <x:c r="D151" s="14" t="str">
        <x:v>Applicable academic/admission year</x:v>
      </x:c>
      <x:c r="E151" s="14" t="str">
        <x:v>Year range</x:v>
      </x:c>
      <x:c r="F151" s="14" t="str">
        <x:v>No</x:v>
      </x:c>
      <x:c r="G151" s="14" t="str">
        <x:v>High</x:v>
      </x:c>
      <x:c r="H151" s="14" t="str">
        <x:v>2026–27</x:v>
      </x:c>
      <x:c r="I151" s="14" t="str"/>
      <x:c r="J151" s="14" t="str"/>
    </x:row>
    <x:row r="152">
      <x:c r="A152" s="14" t="str">
        <x:v>F151</x:v>
      </x:c>
      <x:c r="B152" s="14" t="str">
        <x:v>Source Registry</x:v>
      </x:c>
      <x:c r="C152" s="14" t="str">
        <x:v>retrieved_at</x:v>
      </x:c>
      <x:c r="D152" s="14" t="str">
        <x:v>Collection timestamp</x:v>
      </x:c>
      <x:c r="E152" s="14" t="str">
        <x:v>Datetime</x:v>
      </x:c>
      <x:c r="F152" s="14" t="str">
        <x:v>Yes</x:v>
      </x:c>
      <x:c r="G152" s="14" t="str">
        <x:v>High</x:v>
      </x:c>
      <x:c r="H152" s="14" t="str">
        <x:v>2026-08-05 20:00</x:v>
      </x:c>
      <x:c r="I152" s="14" t="str"/>
      <x:c r="J152" s="14" t="str"/>
    </x:row>
    <x:row r="153">
      <x:c r="A153" s="14" t="str">
        <x:v>F152</x:v>
      </x:c>
      <x:c r="B153" s="14" t="str">
        <x:v>Source Registry</x:v>
      </x:c>
      <x:c r="C153" s="14" t="str">
        <x:v>valid_from</x:v>
      </x:c>
      <x:c r="D153" s="14" t="str">
        <x:v>Start of validity</x:v>
      </x:c>
      <x:c r="E153" s="14" t="str">
        <x:v>Date</x:v>
      </x:c>
      <x:c r="F153" s="14" t="str">
        <x:v>No</x:v>
      </x:c>
      <x:c r="G153" s="14" t="str">
        <x:v>High</x:v>
      </x:c>
      <x:c r="H153" s="14" t="str">
        <x:v>2026-06-01</x:v>
      </x:c>
      <x:c r="I153" s="14" t="str"/>
      <x:c r="J153" s="14" t="str"/>
    </x:row>
    <x:row r="154">
      <x:c r="A154" s="14" t="str">
        <x:v>F153</x:v>
      </x:c>
      <x:c r="B154" s="14" t="str">
        <x:v>Source Registry</x:v>
      </x:c>
      <x:c r="C154" s="14" t="str">
        <x:v>valid_until</x:v>
      </x:c>
      <x:c r="D154" s="14" t="str">
        <x:v>End of validity</x:v>
      </x:c>
      <x:c r="E154" s="14" t="str">
        <x:v>Date</x:v>
      </x:c>
      <x:c r="F154" s="14" t="str">
        <x:v>No</x:v>
      </x:c>
      <x:c r="G154" s="14" t="str">
        <x:v>High</x:v>
      </x:c>
      <x:c r="H154" s="14" t="str">
        <x:v>2027-05-31</x:v>
      </x:c>
      <x:c r="I154" s="14" t="str"/>
      <x:c r="J154" s="14" t="str"/>
    </x:row>
    <x:row r="155">
      <x:c r="A155" s="14" t="str">
        <x:v>F154</x:v>
      </x:c>
      <x:c r="B155" s="14" t="str">
        <x:v>Source Registry</x:v>
      </x:c>
      <x:c r="C155" s="14" t="str">
        <x:v>page_number</x:v>
      </x:c>
      <x:c r="D155" s="14" t="str">
        <x:v>Evidence page/section</x:v>
      </x:c>
      <x:c r="E155" s="14" t="str">
        <x:v>Text</x:v>
      </x:c>
      <x:c r="F155" s="14" t="str">
        <x:v>No</x:v>
      </x:c>
      <x:c r="G155" s="14" t="str">
        <x:v>Medium</x:v>
      </x:c>
      <x:c r="H155" s="14" t="str">
        <x:v>Page 24</x:v>
      </x:c>
      <x:c r="I155" s="14" t="str"/>
      <x:c r="J155" s="14" t="str"/>
    </x:row>
    <x:row r="156">
      <x:c r="A156" s="14" t="str">
        <x:v>F155</x:v>
      </x:c>
      <x:c r="B156" s="14" t="str">
        <x:v>Source Registry</x:v>
      </x:c>
      <x:c r="C156" s="14" t="str">
        <x:v>quoted_evidence</x:v>
      </x:c>
      <x:c r="D156" s="14" t="str">
        <x:v>Short extracted supporting statement</x:v>
      </x:c>
      <x:c r="E156" s="14" t="str">
        <x:v>Text</x:v>
      </x:c>
      <x:c r="F156" s="14" t="str">
        <x:v>Yes</x:v>
      </x:c>
      <x:c r="G156" s="14" t="str">
        <x:v>Medium</x:v>
      </x:c>
      <x:c r="H156" s="14" t="str">
        <x:v>Eligibility clause</x:v>
      </x:c>
      <x:c r="I156" s="14" t="str"/>
      <x:c r="J156" s="14" t="str"/>
    </x:row>
    <x:row r="157">
      <x:c r="A157" s="14" t="str">
        <x:v>F156</x:v>
      </x:c>
      <x:c r="B157" s="14" t="str">
        <x:v>Source Registry</x:v>
      </x:c>
      <x:c r="C157" s="14" t="str">
        <x:v>content_hash</x:v>
      </x:c>
      <x:c r="D157" s="14" t="str">
        <x:v>Document/content hash for change detection</x:v>
      </x:c>
      <x:c r="E157" s="14" t="str">
        <x:v>Text</x:v>
      </x:c>
      <x:c r="F157" s="14" t="str">
        <x:v>No</x:v>
      </x:c>
      <x:c r="G157" s="14" t="str">
        <x:v>Low</x:v>
      </x:c>
      <x:c r="H157" s="14" t="str">
        <x:v>SHA-256</x:v>
      </x:c>
      <x:c r="I157" s="14" t="str"/>
      <x:c r="J157" s="14" t="str"/>
    </x:row>
    <x:row r="158">
      <x:c r="A158" s="14" t="str">
        <x:v>F157</x:v>
      </x:c>
      <x:c r="B158" s="14" t="str">
        <x:v>Source Registry</x:v>
      </x:c>
      <x:c r="C158" s="14" t="str">
        <x:v>verification_status</x:v>
      </x:c>
      <x:c r="D158" s="14" t="str">
        <x:v>Pending/AI checked/human verified/rejected</x:v>
      </x:c>
      <x:c r="E158" s="14" t="str">
        <x:v>Category</x:v>
      </x:c>
      <x:c r="F158" s="14" t="str">
        <x:v>Yes</x:v>
      </x:c>
      <x:c r="G158" s="14" t="str">
        <x:v>High</x:v>
      </x:c>
      <x:c r="H158" s="14" t="str">
        <x:v>Human verified</x:v>
      </x:c>
      <x:c r="I158" s="14" t="str"/>
      <x:c r="J158" s="14" t="str"/>
    </x:row>
    <x:row r="159">
      <x:c r="A159" s="14" t="str">
        <x:v>F158</x:v>
      </x:c>
      <x:c r="B159" s="14" t="str">
        <x:v>Source Registry</x:v>
      </x:c>
      <x:c r="C159" s="14" t="str">
        <x:v>reviewed_by</x:v>
      </x:c>
      <x:c r="D159" s="14" t="str">
        <x:v>Reviewer identifier</x:v>
      </x:c>
      <x:c r="E159" s="14" t="str">
        <x:v>Reference</x:v>
      </x:c>
      <x:c r="F159" s="14" t="str">
        <x:v>No</x:v>
      </x:c>
      <x:c r="G159" s="14" t="str">
        <x:v>Medium</x:v>
      </x:c>
      <x:c r="H159" s="14" t="str">
        <x:v>Researcher 04</x:v>
      </x:c>
      <x:c r="I159" s="14" t="str"/>
      <x:c r="J159" s="14" t="str"/>
    </x:row>
  </x:sheetData>
  <x:conditionalFormatting sqref="G2:G159">
    <x:cfRule type="expression" dxfId="4" priority="1">
      <x:formula>G2="High"</x:formula>
    </x:cfRule>
    <x:cfRule type="expression" dxfId="5" priority="2">
      <x:formula>G2="Medium"</x:formula>
    </x:cfRule>
    <x:cfRule type="expression" dxfId="6" priority="3">
      <x:formula>G2="Low"</x:formula>
    </x:cfRule>
  </x:conditionalFormatting>
  <x:dataValidations count="2">
    <x:dataValidation type="list" sqref="F2:F159">
      <x:formula1>"Yes,No"</x:formula1>
    </x:dataValidation>
    <x:dataValidation type="list" sqref="G2:G159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cc7c71b8346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1" hidden="0" customWidth="1"/>
    <x:col min="3" max="3" width="31" hidden="0" customWidth="1"/>
    <x:col min="4" max="4" width="40" hidden="0" customWidth="1"/>
    <x:col min="5" max="5" width="34" hidden="0" customWidth="1"/>
    <x:col min="6" max="6" width="42" hidden="0" customWidth="1"/>
  </x:cols>
  <x:sheetData>
    <x:row r="1">
      <x:c r="A1" s="6" t="str">
        <x:v>Course Area</x:v>
      </x:c>
      <x:c r="B1" s="6" t="str">
        <x:v>Primary Regulator / Authority</x:v>
      </x:c>
      <x:c r="C1" s="6" t="str">
        <x:v>Secondary Validation</x:v>
      </x:c>
      <x:c r="D1" s="6" t="str">
        <x:v>Key Checks</x:v>
      </x:c>
      <x:c r="E1" s="6" t="str">
        <x:v>Official URL</x:v>
      </x:c>
      <x:c r="F1" s="6" t="str">
        <x:v>Important Note</x:v>
      </x:c>
    </x:row>
    <x:row r="2">
      <x:c r="A2" s="14" t="str">
        <x:v>General university degrees</x:v>
      </x:c>
      <x:c r="B2" s="14" t="str">
        <x:v>UGC</x:v>
      </x:c>
      <x:c r="C2" s="14" t="str">
        <x:v>AISHE; official university; affiliating university</x:v>
      </x:c>
      <x:c r="D2" s="14" t="str">
        <x:v>Institution recognition; degree title; current course offering</x:v>
      </x:c>
      <x:c r="E2" s="14" t="str">
        <x:v>https://www.ugc.gov.in/</x:v>
      </x:c>
      <x:c r="F2" s="14" t="str">
        <x:v>UGC recognition does not replace programme-specific professional approval where required.</x:v>
      </x:c>
    </x:row>
    <x:row r="3">
      <x:c r="A3" s="14" t="str">
        <x:v>Engineering &amp; technology</x:v>
      </x:c>
      <x:c r="B3" s="14" t="str">
        <x:v>AICTE</x:v>
      </x:c>
      <x:c r="C3" s="14" t="str">
        <x:v>UGC/AISHE; affiliating university; NBA</x:v>
      </x:c>
      <x:c r="D3" s="14" t="str">
        <x:v>Institution/programme approval; intake; campus; accreditation validity</x:v>
      </x:c>
      <x:c r="E3" s="14" t="str">
        <x:v>https://www.aicte-india.org/</x:v>
      </x:c>
      <x:c r="F3" s="14" t="str">
        <x:v>Check whether the programme category requires AICTE approval under current rules.</x:v>
      </x:c>
    </x:row>
    <x:row r="4">
      <x:c r="A4" s="14" t="str">
        <x:v>Medicine</x:v>
      </x:c>
      <x:c r="B4" s="14" t="str">
        <x:v>National Medical Commission</x:v>
      </x:c>
      <x:c r="C4" s="14" t="str">
        <x:v>MCC/state counselling; university</x:v>
      </x:c>
      <x:c r="D4" s="14" t="str">
        <x:v>College; MBBS/PG course; seats; academic year; counselling route</x:v>
      </x:c>
      <x:c r="E4" s="14" t="str">
        <x:v>https://www.nmc.org.in/</x:v>
      </x:c>
      <x:c r="F4" s="14" t="str">
        <x:v>Use current approved-college and seat lists.</x:v>
      </x:c>
    </x:row>
    <x:row r="5">
      <x:c r="A5" s="14" t="str">
        <x:v>Dentistry</x:v>
      </x:c>
      <x:c r="B5" s="14" t="str">
        <x:v>Dental Council of India</x:v>
      </x:c>
      <x:c r="C5" s="14" t="str">
        <x:v>MCC/state counselling; university</x:v>
      </x:c>
      <x:c r="D5" s="14" t="str">
        <x:v>BDS/MDS course approval; seats; current year</x:v>
      </x:c>
      <x:c r="E5" s="14" t="str">
        <x:v>https://dciindia.gov.in/</x:v>
      </x:c>
      <x:c r="F5" s="14" t="str">
        <x:v>Validate the exact institution and programme.</x:v>
      </x:c>
    </x:row>
    <x:row r="6">
      <x:c r="A6" s="14" t="str">
        <x:v>Nursing</x:v>
      </x:c>
      <x:c r="B6" s="14" t="str">
        <x:v>Indian Nursing Council</x:v>
      </x:c>
      <x:c r="C6" s="14" t="str">
        <x:v>State Nursing Council; university</x:v>
      </x:c>
      <x:c r="D6" s="14" t="str">
        <x:v>Programme recognition; intake; state approval</x:v>
      </x:c>
      <x:c r="E6" s="14" t="str">
        <x:v>https://www.indiannursingcouncil.org/</x:v>
      </x:c>
      <x:c r="F6" s="14" t="str">
        <x:v>Both national and state validation may matter.</x:v>
      </x:c>
    </x:row>
    <x:row r="7">
      <x:c r="A7" s="14" t="str">
        <x:v>Pharmacy</x:v>
      </x:c>
      <x:c r="B7" s="14" t="str">
        <x:v>Pharmacy Council of India</x:v>
      </x:c>
      <x:c r="C7" s="14" t="str">
        <x:v>AICTE where applicable; university</x:v>
      </x:c>
      <x:c r="D7" s="14" t="str">
        <x:v>Programme approval; intake; academic year</x:v>
      </x:c>
      <x:c r="E7" s="14" t="str">
        <x:v>https://www.pci.nic.in/</x:v>
      </x:c>
      <x:c r="F7" s="14" t="str">
        <x:v>Check DPharm/BPharm/PharmD separately.</x:v>
      </x:c>
    </x:row>
    <x:row r="8">
      <x:c r="A8" s="14" t="str">
        <x:v>Architecture</x:v>
      </x:c>
      <x:c r="B8" s="14" t="str">
        <x:v>Council of Architecture</x:v>
      </x:c>
      <x:c r="C8" s="14" t="str">
        <x:v>University; NATA/official admission authority</x:v>
      </x:c>
      <x:c r="D8" s="14" t="str">
        <x:v>Programme approval; intake; admission requirements</x:v>
      </x:c>
      <x:c r="E8" s="14" t="str">
        <x:v>https://www.coa.gov.in/</x:v>
      </x:c>
      <x:c r="F8" s="14" t="str">
        <x:v>Professional qualification and admission rules require precise verification.</x:v>
      </x:c>
    </x:row>
    <x:row r="9">
      <x:c r="A9" s="14" t="str">
        <x:v>Teacher education</x:v>
      </x:c>
      <x:c r="B9" s="14" t="str">
        <x:v>NCTE</x:v>
      </x:c>
      <x:c r="C9" s="14" t="str">
        <x:v>UGC; affiliating university; state authority</x:v>
      </x:c>
      <x:c r="D9" s="14" t="str">
        <x:v>Institution/programme recognition; regional committee order; validity</x:v>
      </x:c>
      <x:c r="E9" s="14" t="str">
        <x:v>https://ncte.gov.in/</x:v>
      </x:c>
      <x:c r="F9" s="14" t="str">
        <x:v>Do not rely only on the college prospectus.</x:v>
      </x:c>
    </x:row>
    <x:row r="10">
      <x:c r="A10" s="14" t="str">
        <x:v>Law</x:v>
      </x:c>
      <x:c r="B10" s="14" t="str">
        <x:v>Bar Council of India</x:v>
      </x:c>
      <x:c r="C10" s="14" t="str">
        <x:v>UGC; university; CLAT/other exam authority</x:v>
      </x:c>
      <x:c r="D10" s="14" t="str">
        <x:v>Programme recognition; institution; course duration</x:v>
      </x:c>
      <x:c r="E10" s="14" t="str">
        <x:v>https://www.barcouncilofindia.org/</x:v>
      </x:c>
      <x:c r="F10" s="14" t="str">
        <x:v>Verify current recognition of 3-year and 5-year programmes.</x:v>
      </x:c>
    </x:row>
    <x:row r="11">
      <x:c r="A11" s="14" t="str">
        <x:v>Agriculture</x:v>
      </x:c>
      <x:c r="B11" s="14" t="str">
        <x:v>ICAR / relevant agricultural university</x:v>
      </x:c>
      <x:c r="C11" s="14" t="str">
        <x:v>UGC; state admission authority</x:v>
      </x:c>
      <x:c r="D11" s="14" t="str">
        <x:v>Programme standards; institution; admission route</x:v>
      </x:c>
      <x:c r="E11" s="14" t="str">
        <x:v>https://icar.gov.in/</x:v>
      </x:c>
      <x:c r="F11" s="14" t="str">
        <x:v>ICAR accreditation/ranking and legal university recognition are different.</x:v>
      </x:c>
    </x:row>
    <x:row r="12">
      <x:c r="A12" s="14" t="str">
        <x:v>Rehabilitation &amp; special education</x:v>
      </x:c>
      <x:c r="B12" s="14" t="str">
        <x:v>Rehabilitation Council of India</x:v>
      </x:c>
      <x:c r="C12" s="14" t="str">
        <x:v>UGC/university; state authority</x:v>
      </x:c>
      <x:c r="D12" s="14" t="str">
        <x:v>Approved programme; institution; registration pathway</x:v>
      </x:c>
      <x:c r="E12" s="14" t="str">
        <x:v>https://rehabcouncil.nic.in/</x:v>
      </x:c>
      <x:c r="F12" s="14" t="str">
        <x:v>Critical for regulated professional eligibility.</x:v>
      </x:c>
    </x:row>
    <x:row r="13">
      <x:c r="A13" s="14" t="str">
        <x:v>Online &amp; distance programmes</x:v>
      </x:c>
      <x:c r="B13" s="14" t="str">
        <x:v>UGC Distance Education Bureau</x:v>
      </x:c>
      <x:c r="C13" s="14" t="str">
        <x:v>UGC; official institution</x:v>
      </x:c>
      <x:c r="D13" s="14" t="str">
        <x:v>Institution, programme, mode and admission session recognition</x:v>
      </x:c>
      <x:c r="E13" s="14" t="str">
        <x:v>https://deb.ugc.ac.in/</x:v>
      </x:c>
      <x:c r="F13" s="14" t="str">
        <x:v>Verify every session; do not assume a programme stays recognised indefinitely.</x:v>
      </x:c>
    </x:row>
    <x:row r="14">
      <x:c r="A14" s="14" t="str">
        <x:v>Vocational/NSQF programmes</x:v>
      </x:c>
      <x:c r="B14" s="14" t="str">
        <x:v>National Qualifications Register</x:v>
      </x:c>
      <x:c r="C14" s="14" t="str">
        <x:v>NSDC/Sector Skill Council; awarding body</x:v>
      </x:c>
      <x:c r="D14" s="14" t="str">
        <x:v>Qualification code; NSQF level; awarding/approving body</x:v>
      </x:c>
      <x:c r="E14" s="14" t="str">
        <x:v>https://www.nqr.gov.in/</x:v>
      </x:c>
      <x:c r="F14" s="14" t="str">
        <x:v>Use official qualification files and 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73905f59a47243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2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23" t="str">
        <x:v>Recommended RAG and Data Architecture</x:v>
      </x:c>
      <x:c r="B1" s="23"/>
      <x:c r="C1" s="23"/>
      <x:c r="D1" s="23"/>
      <x:c r="E1" s="23"/>
      <x:c r="F1" s="23"/>
      <x:c r="G1" s="23"/>
    </x:row>
    <x:row r="2">
      <x:c r="A2" s="30" t="str">
        <x:v>Use structured tables for facts, a document store for original evidence, and vector retrieval for explanations—never as a substitute for canonical records.</x:v>
      </x:c>
      <x:c r="B2" s="30"/>
      <x:c r="C2" s="30"/>
      <x:c r="D2" s="30"/>
      <x:c r="E2" s="30"/>
      <x:c r="F2" s="30"/>
      <x:c r="G2" s="30"/>
    </x:row>
    <x:row r="4">
      <x:c r="A4" s="6" t="str">
        <x:v>Layer</x:v>
      </x:c>
      <x:c r="B4" s="6" t="str">
        <x:v>What It Stores</x:v>
      </x:c>
      <x:c r="C4" s="6" t="str">
        <x:v>Recommended Data Form</x:v>
      </x:c>
      <x:c r="D4" s="6" t="str">
        <x:v>Retrieval Method</x:v>
      </x:c>
      <x:c r="E4" s="6" t="str">
        <x:v>Examples</x:v>
      </x:c>
      <x:c r="F4" s="6" t="str">
        <x:v>Risk Control</x:v>
      </x:c>
      <x:c r="G4" s="6" t="str">
        <x:v>Output Use</x:v>
      </x:c>
    </x:row>
    <x:row r="5">
      <x:c r="A5" s="14" t="str">
        <x:v>Structured relational database</x:v>
      </x:c>
      <x:c r="B5" s="14" t="str">
        <x:v>Atomic factual records and relationships</x:v>
      </x:c>
      <x:c r="C5" s="14" t="str">
        <x:v>Normalised SQL tables with history/version fields</x:v>
      </x:c>
      <x:c r="D5" s="14" t="str">
        <x:v>Exact filters, joins and rule evaluation</x:v>
      </x:c>
      <x:c r="E5" s="14" t="str">
        <x:v>Courses; institutions; offerings; fees; exams; rankings; approvals; salaries</x:v>
      </x:c>
      <x:c r="F5" s="14" t="str">
        <x:v>Foreign keys; effective dates; source IDs; approval workflow</x:v>
      </x:c>
      <x:c r="G5" s="14" t="str">
        <x:v>Eligibility checks, filters, comparison tables and verified facts</x:v>
      </x:c>
    </x:row>
    <x:row r="6">
      <x:c r="A6" s="14" t="str">
        <x:v>Document store</x:v>
      </x:c>
      <x:c r="B6" s="14" t="str">
        <x:v>Original source pages and files</x:v>
      </x:c>
      <x:c r="C6" s="14" t="str">
        <x:v>PDF/HTML snapshots plus metadata and content hash</x:v>
      </x:c>
      <x:c r="D6" s="14" t="str">
        <x:v>Document/page retrieval</x:v>
      </x:c>
      <x:c r="E6" s="14" t="str">
        <x:v>Prospectus; syllabus; fee notice; placement report; regulator circular</x:v>
      </x:c>
      <x:c r="F6" s="14" t="str">
        <x:v>Immutable snapshots; page references; checksum; archive date</x:v>
      </x:c>
      <x:c r="G6" s="14" t="str">
        <x:v>Evidence display, audit trail and reprocessing</x:v>
      </x:c>
    </x:row>
    <x:row r="7">
      <x:c r="A7" s="14" t="str">
        <x:v>Vector database</x:v>
      </x:c>
      <x:c r="B7" s="14" t="str">
        <x:v>Explanatory and semantic content</x:v>
      </x:c>
      <x:c r="C7" s="14" t="str">
        <x:v>Chunked text with source and section metadata</x:v>
      </x:c>
      <x:c r="D7" s="14" t="str">
        <x:v>Semantic search + metadata filters</x:v>
      </x:c>
      <x:c r="E7" s="14" t="str">
        <x:v>Course overview; curriculum descriptions; FAQs; parent guidance; occupation descriptions</x:v>
      </x:c>
      <x:c r="F7" s="14" t="str">
        <x:v>Only embed verified documents; filter by year and source tier</x:v>
      </x:c>
      <x:c r="G7" s="14" t="str">
        <x:v>Natural-language RAG answers and summaries</x:v>
      </x:c>
    </x:row>
    <x:row r="8">
      <x:c r="A8" s="14" t="str">
        <x:v>Source registry</x:v>
      </x:c>
      <x:c r="B8" s="14" t="str">
        <x:v>Provenance and verification state</x:v>
      </x:c>
      <x:c r="C8" s="14" t="str">
        <x:v>Source ID, tier, URL, publication date, validity, page, evidence, reviewer</x:v>
      </x:c>
      <x:c r="D8" s="14" t="str">
        <x:v>Source lookup and authority ranking</x:v>
      </x:c>
      <x:c r="E8" s="14" t="str">
        <x:v>UGC rule; prospectus page; NIRF report; placement report</x:v>
      </x:c>
      <x:c r="F8" s="14" t="str">
        <x:v>Mandatory source for every published factual claim</x:v>
      </x:c>
      <x:c r="G8" s="14" t="str">
        <x:v>Citations, conflict resolution and trust indicators</x:v>
      </x:c>
    </x:row>
    <x:row r="9">
      <x:c r="A9" s="14" t="str">
        <x:v>Rules / policy engine</x:v>
      </x:c>
      <x:c r="B9" s="14" t="str">
        <x:v>Deterministic eligibility and safety rules</x:v>
      </x:c>
      <x:c r="C9" s="14" t="str">
        <x:v>Versioned rules and conditions</x:v>
      </x:c>
      <x:c r="D9" s="14" t="str">
        <x:v>Rule evaluation before LLM generation</x:v>
      </x:c>
      <x:c r="E9" s="14" t="str">
        <x:v>Required subject; minimum marks; regulated-title warning; admission year</x:v>
      </x:c>
      <x:c r="F9" s="14" t="str">
        <x:v>Human-approved logic; test cases; effective dates</x:v>
      </x:c>
      <x:c r="G9" s="14" t="str">
        <x:v>Prevent AI from improvising eligibility or legal pathways</x:v>
      </x:c>
    </x:row>
    <x:row r="10">
      <x:c r="A10" s="14" t="str">
        <x:v>LLM generation layer</x:v>
      </x:c>
      <x:c r="B10" s="14" t="str">
        <x:v>Student/parent-friendly wording</x:v>
      </x:c>
      <x:c r="C10" s="14" t="str">
        <x:v>Prompt templates with retrieved facts and evidence</x:v>
      </x:c>
      <x:c r="D10" s="14" t="str">
        <x:v>RAG with structured context</x:v>
      </x:c>
      <x:c r="E10" s="14" t="str">
        <x:v>Course summary; comparison; parent explanation; counsellor note</x:v>
      </x:c>
      <x:c r="F10" s="14" t="str">
        <x:v>No unsupported facts; cite sources; abstain on conflict</x:v>
      </x:c>
      <x:c r="G10" s="14" t="str">
        <x:v>Readable answers personalised to grade and user profile</x:v>
      </x:c>
    </x:row>
    <x:row r="13">
      <x:c r="A13" s="37" t="str">
        <x:v>Source precedence and conflict handling</x:v>
      </x:c>
      <x:c r="B13" s="37"/>
      <x:c r="C13" s="37"/>
      <x:c r="D13" s="37"/>
      <x:c r="E13" s="37"/>
      <x:c r="F13" s="37"/>
      <x:c r="G13" s="37"/>
    </x:row>
    <x:row r="14">
      <x:c r="A14" s="6" t="str">
        <x:v>Priority</x:v>
      </x:c>
      <x:c r="B14" s="6" t="str">
        <x:v>Source Type</x:v>
      </x:c>
      <x:c r="C14" s="6" t="str">
        <x:v>Action When Sources Agree</x:v>
      </x:c>
      <x:c r="D14" s="6" t="str">
        <x:v>Action When Sources Conflict</x:v>
      </x:c>
      <x:c r="E14" s="6" t="str">
        <x:v>Can Override?</x:v>
      </x:c>
      <x:c r="F14" s="6" t="str">
        <x:v>Human Review?</x:v>
      </x:c>
      <x:c r="G14" s="6" t="str">
        <x:v>Example</x:v>
      </x:c>
    </x:row>
    <x:row r="15">
      <x:c r="A15" s="14" t="n">
        <x:v>1</x:v>
      </x:c>
      <x:c r="B15" s="14" t="str">
        <x:v>Government / statutory regulator (Tier A)</x:v>
      </x:c>
      <x:c r="C15" s="14" t="str">
        <x:v>Publish with citation</x:v>
      </x:c>
      <x:c r="D15" s="14" t="str">
        <x:v>Prefer current official rule; preserve conflict record</x:v>
      </x:c>
      <x:c r="E15" s="14" t="str">
        <x:v>Overrides lower tiers</x:v>
      </x:c>
      <x:c r="F15" s="14" t="str">
        <x:v>For high-risk fields</x:v>
      </x:c>
      <x:c r="G15" s="14" t="str">
        <x:v>UGC/AICTE/professional council</x:v>
      </x:c>
    </x:row>
    <x:row r="16">
      <x:c r="A16" s="14" t="n">
        <x:v>2</x:v>
      </x:c>
      <x:c r="B16" s="14" t="str">
        <x:v>Official institution document (Tier B)</x:v>
      </x:c>
      <x:c r="C16" s="14" t="str">
        <x:v>Publish institution-specific fact</x:v>
      </x:c>
      <x:c r="D16" s="14" t="str">
        <x:v>Check date, campus and academic year</x:v>
      </x:c>
      <x:c r="E16" s="14" t="str">
        <x:v>Overrides commercial sources</x:v>
      </x:c>
      <x:c r="F16" s="14" t="str">
        <x:v>Yes for fees/eligibility/placement</x:v>
      </x:c>
      <x:c r="G16" s="14" t="str">
        <x:v>Prospectus, syllabus, fee notice</x:v>
      </x:c>
    </x:row>
    <x:row r="17">
      <x:c r="A17" s="14" t="n">
        <x:v>3</x:v>
      </x:c>
      <x:c r="B17" s="14" t="str">
        <x:v>Official employer/placement evidence (Tier C)</x:v>
      </x:c>
      <x:c r="C17" s="14" t="str">
        <x:v>Publish within exact scope</x:v>
      </x:c>
      <x:c r="D17" s="14" t="str">
        <x:v>Check role, department and year</x:v>
      </x:c>
      <x:c r="E17" s="14" t="str">
        <x:v>Overrides job portals for that event</x:v>
      </x:c>
      <x:c r="F17" s="14" t="str">
        <x:v>Yes for recruiter claims</x:v>
      </x:c>
      <x:c r="G17" s="14" t="str">
        <x:v>Placement report or employer careers page</x:v>
      </x:c>
    </x:row>
    <x:row r="18">
      <x:c r="A18" s="14" t="n">
        <x:v>4</x:v>
      </x:c>
      <x:c r="B18" s="14" t="str">
        <x:v>Commercial portal (Tier D)</x:v>
      </x:c>
      <x:c r="C18" s="14" t="str">
        <x:v>Use for discovery/triangulation</x:v>
      </x:c>
      <x:c r="D18" s="14" t="str">
        <x:v>Do not publish as canonical without corroboration</x:v>
      </x:c>
      <x:c r="E18" s="14" t="str">
        <x:v>No</x:v>
      </x:c>
      <x:c r="F18" s="14" t="str">
        <x:v>When no official source exists</x:v>
      </x:c>
      <x:c r="G18" s="14" t="str">
        <x:v>Shiksha, Careers360, salary sites</x:v>
      </x:c>
    </x:row>
    <x:row r="19">
      <x:c r="A19" s="14" t="n">
        <x:v>5</x:v>
      </x:c>
      <x:c r="B19" s="14" t="str">
        <x:v>User review/forum (Tier E)</x:v>
      </x:c>
      <x:c r="C19" s="14" t="str">
        <x:v>Aggregate qualitative themes</x:v>
      </x:c>
      <x:c r="D19" s="14" t="str">
        <x:v>Mark as opinion and do not resolve factual conflicts</x:v>
      </x:c>
      <x:c r="E19" s="14" t="str">
        <x:v>No</x:v>
      </x:c>
      <x:c r="F19" s="14" t="str">
        <x:v>Moderation required</x:v>
      </x:c>
      <x:c r="G19" s="14" t="str">
        <x:v>Student review</x:v>
      </x:c>
    </x:row>
    <x:row r="20">
      <x:c r="A20" s="14" t="n">
        <x:v>6</x:v>
      </x:c>
      <x:c r="B20" s="14" t="str">
        <x:v>AI-generated text (Tier F)</x:v>
      </x:c>
      <x:c r="C20" s="14" t="str">
        <x:v>Use only to explain verified records</x:v>
      </x:c>
      <x:c r="D20" s="14" t="str">
        <x:v>Abstain and request better evidence</x:v>
      </x:c>
      <x:c r="E20" s="14" t="str">
        <x:v>Never</x:v>
      </x:c>
      <x:c r="F20" s="14" t="str">
        <x:v>Template approval</x:v>
      </x:c>
      <x:c r="G20" s="14" t="str">
        <x:v>Generated course summary</x:v>
      </x:c>
    </x:row>
  </x:sheetData>
  <x:mergeCells>
    <x:mergeCell ref="A1:G1"/>
    <x:mergeCell ref="A2:G2"/>
    <x:mergeCell ref="A13:G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24" hidden="0" customWidth="1"/>
  </x:cols>
  <x:sheetData>
    <x:row r="1">
      <x:c r="A1" s="42" t="str">
        <x:v>AI Data Collection Workflow</x:v>
      </x:c>
      <x:c r="B1" s="42"/>
      <x:c r="C1" s="42"/>
      <x:c r="D1" s="42"/>
      <x:c r="E1" s="42"/>
      <x:c r="F1" s="42"/>
      <x:c r="G1" s="42"/>
    </x:row>
    <x:row r="2">
      <x:c r="A2" s="30" t="str">
        <x:v>The AI extracts and normalises evidence; it does not publish high-risk facts without rule checks and human verification.</x:v>
      </x:c>
      <x:c r="B2" s="30"/>
      <x:c r="C2" s="30"/>
      <x:c r="D2" s="30"/>
      <x:c r="E2" s="30"/>
      <x:c r="F2" s="30"/>
      <x:c r="G2" s="30"/>
    </x:row>
    <x:row r="4">
      <x:c r="A4" s="6" t="str">
        <x:v>Step</x:v>
      </x:c>
      <x:c r="B4" s="6" t="str">
        <x:v>Workflow Stage</x:v>
      </x:c>
      <x:c r="C4" s="6" t="str">
        <x:v>AI / System Action</x:v>
      </x:c>
      <x:c r="D4" s="6" t="str">
        <x:v>Required Input</x:v>
      </x:c>
      <x:c r="E4" s="6" t="str">
        <x:v>Output</x:v>
      </x:c>
      <x:c r="F4" s="6" t="str">
        <x:v>Validation / Stop Condition</x:v>
      </x:c>
      <x:c r="G4" s="6" t="str">
        <x:v>Recommended Owner</x:v>
      </x:c>
    </x:row>
    <x:row r="5">
      <x:c r="A5" s="14" t="n">
        <x:v>1</x:v>
      </x:c>
      <x:c r="B5" s="14" t="str">
        <x:v>Discover sources</x:v>
      </x:c>
      <x:c r="C5" s="14" t="str">
        <x:v>Search known official directories and institution domains</x:v>
      </x:c>
      <x:c r="D5" s="14" t="str">
        <x:v>Course/segment and geography</x:v>
      </x:c>
      <x:c r="E5" s="14" t="str">
        <x:v>Candidate source list</x:v>
      </x:c>
      <x:c r="F5" s="14" t="str">
        <x:v>Reject inaccessible, irrelevant or clearly unofficial pages</x:v>
      </x:c>
      <x:c r="G5" s="14" t="str">
        <x:v>Research agent</x:v>
      </x:c>
    </x:row>
    <x:row r="6">
      <x:c r="A6" s="14" t="n">
        <x:v>2</x:v>
      </x:c>
      <x:c r="B6" s="14" t="str">
        <x:v>Capture source</x:v>
      </x:c>
      <x:c r="C6" s="14" t="str">
        <x:v>Download page/PDF and record metadata</x:v>
      </x:c>
      <x:c r="D6" s="14" t="str">
        <x:v>Source URL</x:v>
      </x:c>
      <x:c r="E6" s="14" t="str">
        <x:v>Immutable document snapshot + source registry record</x:v>
      </x:c>
      <x:c r="F6" s="14" t="str">
        <x:v>Document title, date, hash and retrieval timestamp present</x:v>
      </x:c>
      <x:c r="G6" s="14" t="str">
        <x:v>Ingestion service</x:v>
      </x:c>
    </x:row>
    <x:row r="7">
      <x:c r="A7" s="14" t="n">
        <x:v>3</x:v>
      </x:c>
      <x:c r="B7" s="14" t="str">
        <x:v>Classify authority</x:v>
      </x:c>
      <x:c r="C7" s="14" t="str">
        <x:v>Assign Tier A–F and source type</x:v>
      </x:c>
      <x:c r="D7" s="14" t="str">
        <x:v>Document and domain</x:v>
      </x:c>
      <x:c r="E7" s="14" t="str">
        <x:v>Authority classification</x:v>
      </x:c>
      <x:c r="F7" s="14" t="str">
        <x:v>Unknown sources remain unpublished until reviewed</x:v>
      </x:c>
      <x:c r="G7" s="14" t="str">
        <x:v>Rules engine / reviewer</x:v>
      </x:c>
    </x:row>
    <x:row r="8">
      <x:c r="A8" s="14" t="n">
        <x:v>4</x:v>
      </x:c>
      <x:c r="B8" s="14" t="str">
        <x:v>Extract atomic facts</x:v>
      </x:c>
      <x:c r="C8" s="14" t="str">
        <x:v>Extract one claim per field with page/section evidence</x:v>
      </x:c>
      <x:c r="D8" s="14" t="str">
        <x:v>Document text/layout</x:v>
      </x:c>
      <x:c r="E8" s="14" t="str">
        <x:v>Candidate field values</x:v>
      </x:c>
      <x:c r="F8" s="14" t="str">
        <x:v>Every value has quoted evidence and source ID</x:v>
      </x:c>
      <x:c r="G8" s="14" t="str">
        <x:v>Extraction agent</x:v>
      </x:c>
    </x:row>
    <x:row r="9">
      <x:c r="A9" s="14" t="n">
        <x:v>5</x:v>
      </x:c>
      <x:c r="B9" s="14" t="str">
        <x:v>Normalise</x:v>
      </x:c>
      <x:c r="C9" s="14" t="str">
        <x:v>Standardise course names, units, dates, currency and institution IDs</x:v>
      </x:c>
      <x:c r="D9" s="14" t="str">
        <x:v>Candidate facts</x:v>
      </x:c>
      <x:c r="E9" s="14" t="str">
        <x:v>Normalised records</x:v>
      </x:c>
      <x:c r="F9" s="14" t="str">
        <x:v>Aliases retained; canonical entities resolved</x:v>
      </x:c>
      <x:c r="G9" s="14" t="str">
        <x:v>Entity-resolution service</x:v>
      </x:c>
    </x:row>
    <x:row r="10">
      <x:c r="A10" s="14" t="n">
        <x:v>6</x:v>
      </x:c>
      <x:c r="B10" s="14" t="str">
        <x:v>Cross-check</x:v>
      </x:c>
      <x:c r="C10" s="14" t="str">
        <x:v>Compare with at least one appropriate source for high-risk fields</x:v>
      </x:c>
      <x:c r="D10" s="14" t="str">
        <x:v>Normalised records</x:v>
      </x:c>
      <x:c r="E10" s="14" t="str">
        <x:v>Agreement/conflict flags</x:v>
      </x:c>
      <x:c r="F10" s="14" t="str">
        <x:v>Conflicts not automatically resolved by lower-tier sources</x:v>
      </x:c>
      <x:c r="G10" s="14" t="str">
        <x:v>Verification agent</x:v>
      </x:c>
    </x:row>
    <x:row r="11">
      <x:c r="A11" s="14" t="n">
        <x:v>7</x:v>
      </x:c>
      <x:c r="B11" s="14" t="str">
        <x:v>Apply rules</x:v>
      </x:c>
      <x:c r="C11" s="14" t="str">
        <x:v>Evaluate source precedence, date validity and programme/campus match</x:v>
      </x:c>
      <x:c r="D11" s="14" t="str">
        <x:v>Facts + source metadata</x:v>
      </x:c>
      <x:c r="E11" s="14" t="str">
        <x:v>Publishable / review-required status</x:v>
      </x:c>
      <x:c r="F11" s="14" t="str">
        <x:v>High-risk fields require valid year and exact scope</x:v>
      </x:c>
      <x:c r="G11" s="14" t="str">
        <x:v>Policy engine</x:v>
      </x:c>
    </x:row>
    <x:row r="12">
      <x:c r="A12" s="14" t="n">
        <x:v>8</x:v>
      </x:c>
      <x:c r="B12" s="14" t="str">
        <x:v>Human review</x:v>
      </x:c>
      <x:c r="C12" s="14" t="str">
        <x:v>Review evidence and conflicts</x:v>
      </x:c>
      <x:c r="D12" s="14" t="str">
        <x:v>Flagged high-risk records</x:v>
      </x:c>
      <x:c r="E12" s="14" t="str">
        <x:v>Verified/rejected/corrected record</x:v>
      </x:c>
      <x:c r="F12" s="14" t="str">
        <x:v>Reviewer identity and timestamp stored</x:v>
      </x:c>
      <x:c r="G12" s="14" t="str">
        <x:v>Domain researcher</x:v>
      </x:c>
    </x:row>
    <x:row r="13">
      <x:c r="A13" s="14" t="n">
        <x:v>9</x:v>
      </x:c>
      <x:c r="B13" s="14" t="str">
        <x:v>Publish structured data</x:v>
      </x:c>
      <x:c r="C13" s="14" t="str">
        <x:v>Write approved records with effective dates</x:v>
      </x:c>
      <x:c r="D13" s="14" t="str">
        <x:v>Verified record</x:v>
      </x:c>
      <x:c r="E13" s="14" t="str">
        <x:v>Versioned production data</x:v>
      </x:c>
      <x:c r="F13" s="14" t="str">
        <x:v>Previous history preserved; no silent overwrite</x:v>
      </x:c>
      <x:c r="G13" s="14" t="str">
        <x:v>Data service</x:v>
      </x:c>
    </x:row>
    <x:row r="14">
      <x:c r="A14" s="14" t="n">
        <x:v>10</x:v>
      </x:c>
      <x:c r="B14" s="14" t="str">
        <x:v>Create RAG chunks</x:v>
      </x:c>
      <x:c r="C14" s="14" t="str">
        <x:v>Chunk only verified explanatory documents with metadata</x:v>
      </x:c>
      <x:c r="D14" s="14" t="str">
        <x:v>Approved document snapshots</x:v>
      </x:c>
      <x:c r="E14" s="14" t="str">
        <x:v>Vector index entries</x:v>
      </x:c>
      <x:c r="F14" s="14" t="str">
        <x:v>Source tier, year, course and section metadata attached</x:v>
      </x:c>
      <x:c r="G14" s="14" t="str">
        <x:v>RAG pipeline</x:v>
      </x:c>
    </x:row>
    <x:row r="15">
      <x:c r="A15" s="14" t="n">
        <x:v>11</x:v>
      </x:c>
      <x:c r="B15" s="14" t="str">
        <x:v>Generate answer</x:v>
      </x:c>
      <x:c r="C15" s="14" t="str">
        <x:v>Retrieve structured facts + evidence and produce age-appropriate text</x:v>
      </x:c>
      <x:c r="D15" s="14" t="str">
        <x:v>User query/profile</x:v>
      </x:c>
      <x:c r="E15" s="14" t="str">
        <x:v>Answer with citations and uncertainty</x:v>
      </x:c>
      <x:c r="F15" s="14" t="str">
        <x:v>Abstain where evidence is missing or conflicting</x:v>
      </x:c>
      <x:c r="G15" s="14" t="str">
        <x:v>LLM orchestration</x:v>
      </x:c>
    </x:row>
    <x:row r="16">
      <x:c r="A16" s="14" t="n">
        <x:v>12</x:v>
      </x:c>
      <x:c r="B16" s="14" t="str">
        <x:v>Monitor changes</x:v>
      </x:c>
      <x:c r="C16" s="14" t="str">
        <x:v>Recheck high-volatility sources and compare content hashes</x:v>
      </x:c>
      <x:c r="D16" s="14" t="str">
        <x:v>Refresh schedule</x:v>
      </x:c>
      <x:c r="E16" s="14" t="str">
        <x:v>Change alerts and re-verification tasks</x:v>
      </x:c>
      <x:c r="F16" s="14" t="str">
        <x:v>Expired records removed from current views</x:v>
      </x:c>
      <x:c r="G16" s="14" t="str">
        <x:v>Monitoring service</x:v>
      </x:c>
    </x:row>
    <x:row r="19">
      <x:c r="A19" s="37" t="str">
        <x:v>Mandatory Human Review Matrix</x:v>
      </x:c>
      <x:c r="B19" s="37"/>
      <x:c r="C19" s="37"/>
      <x:c r="D19" s="37"/>
      <x:c r="E19" s="37"/>
      <x:c r="F19" s="37"/>
      <x:c r="G19" s="37"/>
    </x:row>
    <x:row r="20">
      <x:c r="A20" s="6" t="str">
        <x:v>Field / Claim</x:v>
      </x:c>
      <x:c r="B20" s="6" t="str">
        <x:v>Why High Risk</x:v>
      </x:c>
      <x:c r="C20" s="6" t="str">
        <x:v>Minimum Evidence</x:v>
      </x:c>
      <x:c r="D20" s="6" t="str">
        <x:v>Required Source Tier</x:v>
      </x:c>
      <x:c r="E20" s="6" t="str">
        <x:v>Second-Source Check</x:v>
      </x:c>
      <x:c r="F20" s="6" t="str">
        <x:v>Refresh Frequency</x:v>
      </x:c>
      <x:c r="G20" s="6" t="str">
        <x:v>Publish Rule</x:v>
      </x:c>
    </x:row>
    <x:row r="21">
      <x:c r="A21" s="14" t="str">
        <x:v>Institution recognition</x:v>
      </x:c>
      <x:c r="B21" s="14" t="str">
        <x:v>Legal validity and student safety</x:v>
      </x:c>
      <x:c r="C21" s="14" t="str">
        <x:v>Current regulator/directory record</x:v>
      </x:c>
      <x:c r="D21" s="14" t="str">
        <x:v>Tier A</x:v>
      </x:c>
      <x:c r="E21" s="14" t="str">
        <x:v>Official institution identity</x:v>
      </x:c>
      <x:c r="F21" s="14" t="str">
        <x:v>At least annual</x:v>
      </x:c>
      <x:c r="G21" s="14" t="str">
        <x:v>Human verified</x:v>
      </x:c>
    </x:row>
    <x:row r="22">
      <x:c r="A22" s="14" t="str">
        <x:v>Specific course approval/offering</x:v>
      </x:c>
      <x:c r="B22" s="14" t="str">
        <x:v>Institution may be valid but course/campus may not be</x:v>
      </x:c>
      <x:c r="C22" s="14" t="str">
        <x:v>Regulator or official current prospectus</x:v>
      </x:c>
      <x:c r="D22" s="14" t="str">
        <x:v>Tier A/B</x:v>
      </x:c>
      <x:c r="E22" s="14" t="str">
        <x:v>Institution course page</x:v>
      </x:c>
      <x:c r="F22" s="14" t="str">
        <x:v>Every academic year</x:v>
      </x:c>
      <x:c r="G22" s="14" t="str">
        <x:v>Human verified</x:v>
      </x:c>
    </x:row>
    <x:row r="23">
      <x:c r="A23" s="14" t="str">
        <x:v>Eligibility</x:v>
      </x:c>
      <x:c r="B23" s="14" t="str">
        <x:v>Incorrect advice can make students ineligible</x:v>
      </x:c>
      <x:c r="C23" s="14" t="str">
        <x:v>Current official prospectus/bulletin</x:v>
      </x:c>
      <x:c r="D23" s="14" t="str">
        <x:v>Tier A/B</x:v>
      </x:c>
      <x:c r="E23" s="14" t="str">
        <x:v>Admission portal</x:v>
      </x:c>
      <x:c r="F23" s="14" t="str">
        <x:v>Every admission cycle</x:v>
      </x:c>
      <x:c r="G23" s="14" t="str">
        <x:v>Human verified</x:v>
      </x:c>
    </x:row>
    <x:row r="24">
      <x:c r="A24" s="14" t="str">
        <x:v>Compulsory subjects</x:v>
      </x:c>
      <x:c r="B24" s="14" t="str">
        <x:v>Directly affects application eligibility</x:v>
      </x:c>
      <x:c r="C24" s="14" t="str">
        <x:v>Official eligibility clause</x:v>
      </x:c>
      <x:c r="D24" s="14" t="str">
        <x:v>Tier A/B</x:v>
      </x:c>
      <x:c r="E24" s="14" t="str">
        <x:v>Exam/university bulletin</x:v>
      </x:c>
      <x:c r="F24" s="14" t="str">
        <x:v>Every admission cycle</x:v>
      </x:c>
      <x:c r="G24" s="14" t="str">
        <x:v>Human verified</x:v>
      </x:c>
    </x:row>
    <x:row r="25">
      <x:c r="A25" s="14" t="str">
        <x:v>Entrance exam and counselling</x:v>
      </x:c>
      <x:c r="B25" s="14" t="str">
        <x:v>Dates and routes change</x:v>
      </x:c>
      <x:c r="C25" s="14" t="str">
        <x:v>Official exam/counselling notice</x:v>
      </x:c>
      <x:c r="D25" s="14" t="str">
        <x:v>Tier A</x:v>
      </x:c>
      <x:c r="E25" s="14" t="str">
        <x:v>Institution admission notice</x:v>
      </x:c>
      <x:c r="F25" s="14" t="str">
        <x:v>Continuous in season</x:v>
      </x:c>
      <x:c r="G25" s="14" t="str">
        <x:v>Human verified</x:v>
      </x:c>
    </x:row>
    <x:row r="26">
      <x:c r="A26" s="14" t="str">
        <x:v>Course duration and mode</x:v>
      </x:c>
      <x:c r="B26" s="14" t="str">
        <x:v>Regulatory and recognition implications</x:v>
      </x:c>
      <x:c r="C26" s="14" t="str">
        <x:v>Current regulation/programme page</x:v>
      </x:c>
      <x:c r="D26" s="14" t="str">
        <x:v>Tier A/B</x:v>
      </x:c>
      <x:c r="E26" s="14" t="str">
        <x:v>Prospectus</x:v>
      </x:c>
      <x:c r="F26" s="14" t="str">
        <x:v>Annual</x:v>
      </x:c>
      <x:c r="G26" s="14" t="str">
        <x:v>Rule + review</x:v>
      </x:c>
    </x:row>
    <x:row r="27">
      <x:c r="A27" s="14" t="str">
        <x:v>Fees</x:v>
      </x:c>
      <x:c r="B27" s="14" t="str">
        <x:v>High financial impact and multiple quotas/components</x:v>
      </x:c>
      <x:c r="C27" s="14" t="str">
        <x:v>Current fee notification/prospectus</x:v>
      </x:c>
      <x:c r="D27" s="14" t="str">
        <x:v>Tier A/B</x:v>
      </x:c>
      <x:c r="E27" s="14" t="str">
        <x:v>Admission payment page</x:v>
      </x:c>
      <x:c r="F27" s="14" t="str">
        <x:v>Every admission cycle</x:v>
      </x:c>
      <x:c r="G27" s="14" t="str">
        <x:v>Human verified</x:v>
      </x:c>
    </x:row>
    <x:row r="28">
      <x:c r="A28" s="14" t="str">
        <x:v>Intake / seats</x:v>
      </x:c>
      <x:c r="B28" s="14" t="str">
        <x:v>Approval and counselling impact</x:v>
      </x:c>
      <x:c r="C28" s="14" t="str">
        <x:v>Regulator/seat matrix/prospectus</x:v>
      </x:c>
      <x:c r="D28" s="14" t="str">
        <x:v>Tier A/B</x:v>
      </x:c>
      <x:c r="E28" s="14" t="str">
        <x:v>Counselling source</x:v>
      </x:c>
      <x:c r="F28" s="14" t="str">
        <x:v>Annual</x:v>
      </x:c>
      <x:c r="G28" s="14" t="str">
        <x:v>Human verified</x:v>
      </x:c>
    </x:row>
    <x:row r="29">
      <x:c r="A29" s="14" t="str">
        <x:v>Professional licence pathway</x:v>
      </x:c>
      <x:c r="B29" s="14" t="str">
        <x:v>Legal scope-of-practice risk</x:v>
      </x:c>
      <x:c r="C29" s="14" t="str">
        <x:v>Professional regulator rules</x:v>
      </x:c>
      <x:c r="D29" s="14" t="str">
        <x:v>Tier A</x:v>
      </x:c>
      <x:c r="E29" s="14" t="str">
        <x:v>Approved programme list</x:v>
      </x:c>
      <x:c r="F29" s="14" t="str">
        <x:v>When rules change</x:v>
      </x:c>
      <x:c r="G29" s="14" t="str">
        <x:v>Expert review</x:v>
      </x:c>
    </x:row>
    <x:row r="30">
      <x:c r="A30" s="14" t="str">
        <x:v>Salary figures</x:v>
      </x:c>
      <x:c r="B30" s="14" t="str">
        <x:v>Easily misleading and context dependent</x:v>
      </x:c>
      <x:c r="C30" s="14" t="str">
        <x:v>Placement report or official/statistical evidence</x:v>
      </x:c>
      <x:c r="D30" s="14" t="str">
        <x:v>Tier A/B</x:v>
      </x:c>
      <x:c r="E30" s="14" t="str">
        <x:v>Secondary market dataset</x:v>
      </x:c>
      <x:c r="F30" s="14" t="str">
        <x:v>Quarterly/annual</x:v>
      </x:c>
      <x:c r="G30" s="14" t="str">
        <x:v>Range + disclaimer + review</x:v>
      </x:c>
    </x:row>
    <x:row r="31">
      <x:c r="A31" s="14" t="str">
        <x:v>Placement percentage</x:v>
      </x:c>
      <x:c r="B31" s="14" t="str">
        <x:v>Often inconsistently defined</x:v>
      </x:c>
      <x:c r="C31" s="14" t="str">
        <x:v>Official report with denominator/method</x:v>
      </x:c>
      <x:c r="D31" s="14" t="str">
        <x:v>Tier B</x:v>
      </x:c>
      <x:c r="E31" s="14" t="str">
        <x:v>NIRF/annual report</x:v>
      </x:c>
      <x:c r="F31" s="14" t="str">
        <x:v>Annual</x:v>
      </x:c>
      <x:c r="G31" s="14" t="str">
        <x:v>Human verified</x:v>
      </x:c>
    </x:row>
    <x:row r="32">
      <x:c r="A32" s="14" t="str">
        <x:v>Recruiters</x:v>
      </x:c>
      <x:c r="B32" s="14" t="str">
        <x:v>May be institution-wide rather than course-specific</x:v>
      </x:c>
      <x:c r="C32" s="14" t="str">
        <x:v>Official placement evidence with scope/year</x:v>
      </x:c>
      <x:c r="D32" s="14" t="str">
        <x:v>Tier B/C</x:v>
      </x:c>
      <x:c r="E32" s="14" t="str">
        <x:v>Employer/department evidence</x:v>
      </x:c>
      <x:c r="F32" s="14" t="str">
        <x:v>Annual</x:v>
      </x:c>
      <x:c r="G32" s="14" t="str">
        <x:v>Human verified</x:v>
      </x:c>
    </x:row>
    <x:row r="33">
      <x:c r="A33" s="14" t="str">
        <x:v>Scholarship eligibility/deadline</x:v>
      </x:c>
      <x:c r="B33" s="14" t="str">
        <x:v>Time-sensitive financial impact</x:v>
      </x:c>
      <x:c r="C33" s="14" t="str">
        <x:v>Official scheme page</x:v>
      </x:c>
      <x:c r="D33" s="14" t="str">
        <x:v>Tier A/B</x:v>
      </x:c>
      <x:c r="E33" s="14" t="str">
        <x:v>Portal notification</x:v>
      </x:c>
      <x:c r="F33" s="14" t="str">
        <x:v>Monthly in season</x:v>
      </x:c>
      <x:c r="G33" s="14" t="str">
        <x:v>Human verified</x:v>
      </x:c>
    </x:row>
    <x:row r="34">
      <x:c r="A34" s="14" t="str">
        <x:v>Application deadline</x:v>
      </x:c>
      <x:c r="B34" s="14" t="str">
        <x:v>Missing deadline has direct consequence</x:v>
      </x:c>
      <x:c r="C34" s="14" t="str">
        <x:v>Official notice/portal</x:v>
      </x:c>
      <x:c r="D34" s="14" t="str">
        <x:v>Tier A/B</x:v>
      </x:c>
      <x:c r="E34" s="14" t="str">
        <x:v>Institution page</x:v>
      </x:c>
      <x:c r="F34" s="14" t="str">
        <x:v>Weekly in season</x:v>
      </x:c>
      <x:c r="G34" s="14" t="str">
        <x:v>Human verified</x:v>
      </x:c>
    </x:row>
    <x:row r="35">
      <x:c r="A35" s="14" t="str">
        <x:v>Ranking claim</x:v>
      </x:c>
      <x:c r="B35" s="14" t="str">
        <x:v>Category/year can be misrepresented</x:v>
      </x:c>
      <x:c r="C35" s="14" t="str">
        <x:v>Official ranking result</x:v>
      </x:c>
      <x:c r="D35" s="14" t="str">
        <x:v>Tier A</x:v>
      </x:c>
      <x:c r="E35" s="14" t="str">
        <x:v>Institution page only as cross-check</x:v>
      </x:c>
      <x:c r="F35" s="14" t="str">
        <x:v>Annual</x:v>
      </x:c>
      <x:c r="G35" s="14" t="str">
        <x:v>Rule + review</x:v>
      </x:c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8" hidden="0" customWidth="1"/>
    <x:col min="4" max="4" width="38" hidden="0" customWidth="1"/>
  </x:cols>
  <x:sheetData>
    <x:row r="1" ht="34" customHeight="1">
      <x:c r="A1" s="42" t="str">
        <x:v>Indian Course Library — AI Source &amp; RAG Planning Workbook</x:v>
      </x:c>
      <x:c r="B1" s="42"/>
      <x:c r="C1" s="42"/>
      <x:c r="D1" s="42"/>
      <x:c r="E1" s="42"/>
      <x:c r="F1" s="42"/>
      <x:c r="G1" s="42"/>
      <x:c r="H1" s="42"/>
    </x:row>
    <x:row r="2" ht="25" customHeight="1">
      <x:c r="A2" s="30" t="str">
        <x:v>A source-first framework for collecting reliable Indian course, college, admission, career, salary and placement data.</x:v>
      </x:c>
      <x:c r="B2" s="30"/>
      <x:c r="C2" s="30"/>
      <x:c r="D2" s="30"/>
      <x:c r="E2" s="30"/>
      <x:c r="F2" s="30"/>
      <x:c r="G2" s="30"/>
      <x:c r="H2" s="30"/>
    </x:row>
    <x:row r="3">
      <x:c r="A3" s="80"/>
      <x:c r="B3" s="80"/>
      <x:c r="C3" s="80"/>
      <x:c r="D3" s="80"/>
      <x:c r="E3" s="80"/>
      <x:c r="F3" s="80"/>
      <x:c r="G3" s="80"/>
      <x:c r="H3" s="80"/>
    </x:row>
    <x:row r="4">
      <x:c r="A4" s="47" t="str">
        <x:v>Course-page segments</x:v>
      </x:c>
      <x:c r="B4" s="47" t="str"/>
      <x:c r="C4" s="47" t="str">
        <x:v>Source websites</x:v>
      </x:c>
      <x:c r="D4" s="47" t="str"/>
      <x:c r="E4" s="47" t="str">
        <x:v>Defined data fields</x:v>
      </x:c>
      <x:c r="F4" s="47" t="str"/>
      <x:c r="G4" s="47" t="str">
        <x:v>Mandatory reviews</x:v>
      </x:c>
      <x:c r="H4" s="47" t="str"/>
    </x:row>
    <x:row r="5">
      <x:c r="A5" s="55" t="n">
        <x:f>COUNTA('Segment Sources'!A2:A200)</x:f>
        <x:v>19</x:v>
      </x:c>
      <x:c r="B5" s="55"/>
      <x:c r="C5" s="55" t="n">
        <x:f>COUNTA('Source Directory'!A2:A200)</x:f>
        <x:v>44</x:v>
      </x:c>
      <x:c r="D5" s="55"/>
      <x:c r="E5" s="55" t="n">
        <x:f>COUNTA('Data Fields'!A2:A500)</x:f>
        <x:v>158</x:v>
      </x:c>
      <x:c r="F5" s="55"/>
      <x:c r="G5" s="55" t="n">
        <x:f>COUNTA('Workflow &amp; Review'!A21:A100)</x:f>
        <x:v>15</x:v>
      </x:c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80"/>
      <x:c r="B7" s="80"/>
      <x:c r="C7" s="80"/>
      <x:c r="D7" s="80"/>
      <x:c r="E7" s="80"/>
      <x:c r="F7" s="80"/>
      <x:c r="G7" s="80"/>
      <x:c r="H7" s="80"/>
    </x:row>
    <x:row r="8">
      <x:c r="A8" s="37" t="str">
        <x:v>How to use this workbook</x:v>
      </x:c>
      <x:c r="B8" s="37"/>
      <x:c r="C8" s="37"/>
      <x:c r="D8" s="37"/>
      <x:c r="E8" s="37"/>
      <x:c r="F8" s="37"/>
      <x:c r="G8" s="37"/>
      <x:c r="H8" s="37"/>
    </x:row>
    <x:row r="9">
      <x:c r="A9" s="63" t="str">
        <x:v>1</x:v>
      </x:c>
      <x:c r="B9" s="69" t="str">
        <x:v>Start with Segment Sources</x:v>
      </x:c>
      <x:c r="C9" s="81" t="str">
        <x:v>Identify the exact source hierarchy, verification rule and refresh cadence for each course-page section.</x:v>
      </x:c>
      <x:c r="D9" s="81" t="str"/>
      <x:c r="E9" s="81" t="str"/>
      <x:c r="F9" s="81" t="str"/>
      <x:c r="G9" s="81" t="str"/>
      <x:c r="H9" s="81" t="str"/>
    </x:row>
    <x:row r="10">
      <x:c r="A10" s="63" t="str">
        <x:v>2</x:v>
      </x:c>
      <x:c r="B10" s="69" t="str">
        <x:v>Use Source Directory</x:v>
      </x:c>
      <x:c r="C10" s="81" t="str">
        <x:v>Configure allowlists, authority tiers and official domains for your AI research agents.</x:v>
      </x:c>
      <x:c r="D10" s="81" t="str"/>
      <x:c r="E10" s="81" t="str"/>
      <x:c r="F10" s="81" t="str"/>
      <x:c r="G10" s="81" t="str"/>
      <x:c r="H10" s="81" t="str"/>
    </x:row>
    <x:row r="11">
      <x:c r="A11" s="63" t="str">
        <x:v>3</x:v>
      </x:c>
      <x:c r="B11" s="69" t="str">
        <x:v>Build the schema from Data Fields</x:v>
      </x:c>
      <x:c r="C11" s="81" t="str">
        <x:v>Create structured tables before embeddings; attach source IDs and effective dates to every factual record.</x:v>
      </x:c>
      <x:c r="D11" s="81" t="str"/>
      <x:c r="E11" s="81" t="str"/>
      <x:c r="F11" s="81" t="str"/>
      <x:c r="G11" s="81" t="str"/>
      <x:c r="H11" s="81" t="str"/>
    </x:row>
    <x:row r="12">
      <x:c r="A12" s="63" t="str">
        <x:v>4</x:v>
      </x:c>
      <x:c r="B12" s="69" t="str">
        <x:v>Apply Regulator Map</x:v>
      </x:c>
      <x:c r="C12" s="81" t="str">
        <x:v>Route each course family to the correct professional regulator and secondary validation sources.</x:v>
      </x:c>
      <x:c r="D12" s="81" t="str"/>
      <x:c r="E12" s="81" t="str"/>
      <x:c r="F12" s="81" t="str"/>
      <x:c r="G12" s="81" t="str"/>
      <x:c r="H12" s="81" t="str"/>
    </x:row>
    <x:row r="13">
      <x:c r="A13" s="63" t="str">
        <x:v>5</x:v>
      </x:c>
      <x:c r="B13" s="69" t="str">
        <x:v>Implement RAG Architecture</x:v>
      </x:c>
      <x:c r="C13" s="81" t="str">
        <x:v>Retrieve structured facts for decisions and vector content for explanations, always with citations.</x:v>
      </x:c>
      <x:c r="D13" s="81" t="str"/>
      <x:c r="E13" s="81" t="str"/>
      <x:c r="F13" s="81" t="str"/>
      <x:c r="G13" s="81" t="str"/>
      <x:c r="H13" s="81" t="str"/>
    </x:row>
    <x:row r="14">
      <x:c r="A14" s="63" t="str">
        <x:v>6</x:v>
      </x:c>
      <x:c r="B14" s="69" t="str">
        <x:v>Enforce Workflow &amp; Review</x:v>
      </x:c>
      <x:c r="C14" s="81" t="str">
        <x:v>Do not publish high-risk eligibility, fees, approval, salary or recruiter claims without required evidence.</x:v>
      </x:c>
      <x:c r="D14" s="81" t="str"/>
      <x:c r="E14" s="81" t="str"/>
      <x:c r="F14" s="81" t="str"/>
      <x:c r="G14" s="81" t="str"/>
      <x:c r="H14" s="81" t="str"/>
    </x:row>
    <x:row r="15">
      <x:c r="A15" s="80"/>
      <x:c r="B15" s="80"/>
      <x:c r="C15" s="80"/>
      <x:c r="D15" s="80"/>
      <x:c r="E15" s="80"/>
      <x:c r="F15" s="80"/>
      <x:c r="G15" s="80"/>
      <x:c r="H15" s="80"/>
    </x:row>
    <x:row r="16">
      <x:c r="A16" s="37" t="str">
        <x:v>Source hierarchy</x:v>
      </x:c>
      <x:c r="B16" s="37"/>
      <x:c r="C16" s="37"/>
      <x:c r="D16" s="37"/>
      <x:c r="E16" s="80"/>
      <x:c r="F16" s="37" t="str">
        <x:v>Source directory by tier</x:v>
      </x:c>
      <x:c r="G16" s="37"/>
      <x:c r="H16" s="37"/>
    </x:row>
    <x:row r="17">
      <x:c r="A17" s="6" t="str">
        <x:v>Priority</x:v>
      </x:c>
      <x:c r="B17" s="6" t="str">
        <x:v>Source Type</x:v>
      </x:c>
      <x:c r="C17" s="6" t="str">
        <x:v>Use</x:v>
      </x:c>
      <x:c r="D17" s="6" t="str">
        <x:v>Rule</x:v>
      </x:c>
      <x:c r="E17" s="80"/>
      <x:c r="F17" s="6" t="str">
        <x:v>Tier</x:v>
      </x:c>
      <x:c r="G17" s="6" t="str">
        <x:v>Website count</x:v>
      </x:c>
      <x:c r="H17" s="80"/>
    </x:row>
    <x:row r="18">
      <x:c r="A18" s="81" t="n">
        <x:v>1</x:v>
      </x:c>
      <x:c r="B18" s="81" t="str">
        <x:v>Government / regulator</x:v>
      </x:c>
      <x:c r="C18" s="81" t="str">
        <x:v>Canonical facts</x:v>
      </x:c>
      <x:c r="D18" s="81" t="str">
        <x:v>Use first and preserve exact year/validity</x:v>
      </x:c>
      <x:c r="E18" s="80"/>
      <x:c r="F18" s="81" t="str">
        <x:v>Tier A</x:v>
      </x:c>
      <x:c r="G18" s="81" t="n">
        <x:f>COUNTIF('Source Directory'!$E$2:$E$200,"Tier A")+COUNTIF('Source Directory'!$E$2:$E$200,"Tier A/B")</x:f>
        <x:v>35</x:v>
      </x:c>
      <x:c r="H18" s="80"/>
    </x:row>
    <x:row r="19">
      <x:c r="A19" s="81" t="n">
        <x:v>2</x:v>
      </x:c>
      <x:c r="B19" s="81" t="str">
        <x:v>Official institution document</x:v>
      </x:c>
      <x:c r="C19" s="81" t="str">
        <x:v>Campus/course-specific facts</x:v>
      </x:c>
      <x:c r="D19" s="81" t="str">
        <x:v>Prospectus, syllabus, fees and placement reports</x:v>
      </x:c>
      <x:c r="E19" s="80"/>
      <x:c r="F19" s="81" t="str">
        <x:v>Tier B</x:v>
      </x:c>
      <x:c r="G19" s="81" t="n">
        <x:f>COUNTIF('Source Directory'!$E$2:$E$200,"Tier B")+COUNTIF('Source Directory'!$E$2:$E$200,"Tier A/B")</x:f>
        <x:v>5</x:v>
      </x:c>
      <x:c r="H19" s="80"/>
    </x:row>
    <x:row r="20">
      <x:c r="A20" s="81" t="n">
        <x:v>3</x:v>
      </x:c>
      <x:c r="B20" s="81" t="str">
        <x:v>Official employer evidence</x:v>
      </x:c>
      <x:c r="C20" s="81" t="str">
        <x:v>Recruiter and job-role evidence</x:v>
      </x:c>
      <x:c r="D20" s="81" t="str">
        <x:v>Use within exact programme/year scope</x:v>
      </x:c>
      <x:c r="E20" s="80"/>
      <x:c r="F20" s="81" t="str">
        <x:v>Tier C</x:v>
      </x:c>
      <x:c r="G20" s="81" t="n">
        <x:f>COUNTIF('Source Directory'!$E$2:$E$200,"Tier C")+COUNTIF('Source Directory'!$E$2:$E$200,"Tier C/D")</x:f>
        <x:v>1</x:v>
      </x:c>
      <x:c r="H20" s="80"/>
    </x:row>
    <x:row r="21">
      <x:c r="A21" s="81" t="n">
        <x:v>4</x:v>
      </x:c>
      <x:c r="B21" s="81" t="str">
        <x:v>Commercial education/job portal</x:v>
      </x:c>
      <x:c r="C21" s="81" t="str">
        <x:v>Discovery and triangulation</x:v>
      </x:c>
      <x:c r="D21" s="81" t="str">
        <x:v>Never override official evidence</x:v>
      </x:c>
      <x:c r="E21" s="80"/>
      <x:c r="F21" s="81" t="str">
        <x:v>Tier D</x:v>
      </x:c>
      <x:c r="G21" s="81" t="n">
        <x:f>COUNTIF('Source Directory'!$E$2:$E$200,"Tier D")+COUNTIF('Source Directory'!$E$2:$E$200,"Tier C/D")</x:f>
        <x:v>8</x:v>
      </x:c>
      <x:c r="H21" s="80"/>
    </x:row>
    <x:row r="22">
      <x:c r="A22" s="81" t="n">
        <x:v>5</x:v>
      </x:c>
      <x:c r="B22" s="81" t="str">
        <x:v>AI-generated explanation</x:v>
      </x:c>
      <x:c r="C22" s="81" t="str">
        <x:v>Student/parent-friendly wording</x:v>
      </x:c>
      <x:c r="D22" s="81" t="str">
        <x:v>Never act as canonical data</x:v>
      </x:c>
      <x:c r="E22" s="80"/>
      <x:c r="F22" s="81" t="str">
        <x:v>Tier E</x:v>
      </x:c>
      <x:c r="G22" s="81" t="n">
        <x:f>COUNTIF('Source Directory'!$E$2:$E$200,"Tier E")</x:f>
        <x:v>0</x:v>
      </x:c>
      <x:c r="H22" s="80"/>
    </x:row>
    <x:row r="23">
      <x:c r="A23" s="80"/>
      <x:c r="B23" s="80"/>
      <x:c r="C23" s="80"/>
      <x:c r="D23" s="80"/>
      <x:c r="E23" s="80"/>
      <x:c r="F23" s="81" t="str">
        <x:v>Tier F</x:v>
      </x:c>
      <x:c r="G23" s="81" t="n">
        <x:f>COUNTIF('Source Directory'!$E$2:$E$200,"Tier F")</x:f>
        <x:v>0</x:v>
      </x:c>
      <x:c r="H23" s="80"/>
    </x:row>
    <x:row r="24">
      <x:c r="A24" s="80"/>
      <x:c r="B24" s="80"/>
      <x:c r="C24" s="80"/>
      <x:c r="D24" s="80"/>
      <x:c r="E24" s="80"/>
      <x:c r="F24" s="80"/>
      <x:c r="G24" s="80"/>
      <x:c r="H24" s="80"/>
    </x:row>
    <x:row r="25">
      <x:c r="A25" s="37" t="str">
        <x:v>Publishing rule</x:v>
      </x:c>
      <x:c r="B25" s="37"/>
      <x:c r="C25" s="37"/>
      <x:c r="D25" s="37"/>
      <x:c r="E25" s="80"/>
      <x:c r="F25" s="80"/>
      <x:c r="G25" s="80"/>
      <x:c r="H25" s="80"/>
    </x:row>
    <x:row r="26">
      <x:c r="A26" s="82" t="str">
        <x:v>Every published factual claim should resolve to a source registry record. High-risk fields—recognition, programme approval, eligibility, fees, exam dates, professional licence pathways, salaries, placements and recruiters—must pass the review rules in the Workflow &amp; Review sheet. Commercial sites are useful for discovery, but official evidence remains the source of truth.</x:v>
      </x:c>
      <x:c r="B26" s="82"/>
      <x:c r="C26" s="82"/>
      <x:c r="D26" s="82"/>
      <x:c r="E26" s="80"/>
      <x:c r="F26" s="80"/>
      <x:c r="G26" s="80"/>
      <x:c r="H26" s="80"/>
    </x:row>
    <x:row r="27">
      <x:c r="A27" s="82"/>
      <x:c r="B27" s="82"/>
      <x:c r="C27" s="82"/>
      <x:c r="D27" s="82"/>
      <x:c r="E27" s="80"/>
      <x:c r="F27" s="80"/>
      <x:c r="G27" s="80"/>
      <x:c r="H27" s="80"/>
    </x:row>
    <x:row r="28">
      <x:c r="A28" s="82"/>
      <x:c r="B28" s="82"/>
      <x:c r="C28" s="82"/>
      <x:c r="D28" s="82"/>
      <x:c r="E28" s="80"/>
      <x:c r="F28" s="80"/>
      <x:c r="G28" s="80"/>
      <x:c r="H28" s="80"/>
    </x:row>
    <x:row r="29">
      <x:c r="A29" s="82"/>
      <x:c r="B29" s="82"/>
      <x:c r="C29" s="82"/>
      <x:c r="D29" s="82"/>
      <x:c r="E29" s="80"/>
      <x:c r="F29" s="80"/>
      <x:c r="G29" s="80"/>
      <x:c r="H29" s="80"/>
    </x:row>
    <x:row r="30">
      <x:c r="A30" s="82"/>
      <x:c r="B30" s="82"/>
      <x:c r="C30" s="82"/>
      <x:c r="D30" s="82"/>
      <x:c r="E30" s="80"/>
      <x:c r="F30" s="80"/>
      <x:c r="G30" s="80"/>
      <x:c r="H30" s="80"/>
    </x:row>
    <x:row r="31">
      <x:c r="A31" s="80"/>
      <x:c r="B31" s="80"/>
      <x:c r="C31" s="80"/>
      <x:c r="D31" s="80"/>
      <x:c r="E31" s="80"/>
      <x:c r="F31" s="80"/>
      <x:c r="G31" s="80"/>
      <x:c r="H31" s="80"/>
    </x:row>
    <x:row r="32">
      <x:c r="A32" s="80"/>
      <x:c r="B32" s="80"/>
      <x:c r="C32" s="80"/>
      <x:c r="D32" s="80"/>
      <x:c r="E32" s="80"/>
      <x:c r="F32" s="80"/>
      <x:c r="G32" s="80"/>
      <x:c r="H32" s="80"/>
    </x:row>
    <x:row r="33">
      <x:c r="A33" s="80"/>
      <x:c r="B33" s="80"/>
      <x:c r="C33" s="80"/>
      <x:c r="D33" s="80"/>
      <x:c r="E33" s="80"/>
      <x:c r="F33" s="80"/>
      <x:c r="G33" s="80"/>
      <x:c r="H33" s="80"/>
    </x:row>
    <x:row r="34">
      <x:c r="A34" s="80"/>
      <x:c r="B34" s="80"/>
      <x:c r="C34" s="80"/>
      <x:c r="D34" s="80"/>
      <x:c r="E34" s="80"/>
      <x:c r="F34" s="80"/>
      <x:c r="G34" s="80"/>
      <x:c r="H34" s="80"/>
    </x:row>
    <x:row r="35">
      <x:c r="A35" s="80"/>
      <x:c r="B35" s="80"/>
      <x:c r="C35" s="80"/>
      <x:c r="D35" s="80"/>
      <x:c r="E35" s="80"/>
      <x:c r="F35" s="80"/>
      <x:c r="G35" s="80"/>
      <x:c r="H35" s="80"/>
    </x:row>
    <x:row r="36">
      <x:c r="A36" s="80"/>
      <x:c r="B36" s="80"/>
      <x:c r="C36" s="80"/>
      <x:c r="D36" s="80"/>
      <x:c r="E36" s="80"/>
      <x:c r="F36" s="80"/>
      <x:c r="G36" s="80"/>
      <x:c r="H36" s="80"/>
    </x:row>
    <x:row r="37">
      <x:c r="A37" s="80"/>
      <x:c r="B37" s="80"/>
      <x:c r="C37" s="80"/>
      <x:c r="D37" s="80"/>
      <x:c r="E37" s="80"/>
      <x:c r="F37" s="80"/>
      <x:c r="G37" s="80"/>
      <x:c r="H37" s="80"/>
    </x:row>
    <x:row r="38">
      <x:c r="A38" s="80"/>
      <x:c r="B38" s="80"/>
      <x:c r="C38" s="80"/>
      <x:c r="D38" s="80"/>
      <x:c r="E38" s="80"/>
      <x:c r="F38" s="80"/>
      <x:c r="G38" s="80"/>
      <x:c r="H38" s="80"/>
    </x:row>
    <x:row r="39">
      <x:c r="A39" s="80"/>
      <x:c r="B39" s="80"/>
      <x:c r="C39" s="80"/>
      <x:c r="D39" s="80"/>
      <x:c r="E39" s="80"/>
      <x:c r="F39" s="80"/>
      <x:c r="G39" s="80"/>
      <x:c r="H39" s="80"/>
    </x:row>
    <x:row r="40">
      <x:c r="A40" s="80"/>
      <x:c r="B40" s="80"/>
      <x:c r="C40" s="80"/>
      <x:c r="D40" s="80"/>
      <x:c r="E40" s="80"/>
      <x:c r="F40" s="80"/>
      <x:c r="G40" s="80"/>
      <x:c r="H40" s="80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C9:H9"/>
    <x:mergeCell ref="C10:H10"/>
    <x:mergeCell ref="C11:H11"/>
    <x:mergeCell ref="C12:H12"/>
    <x:mergeCell ref="C13:H13"/>
    <x:mergeCell ref="C14:H14"/>
    <x:mergeCell ref="A16:D16"/>
    <x:mergeCell ref="F16:H16"/>
    <x:mergeCell ref="A25:D25"/>
    <x:mergeCell ref="A26:D30"/>
  </x:mergeCells>
  <x:pageMargins left="0.7" right="0.7" top="0.75" bottom="0.75" header="0.3" footer="0.3"/>
  <x:drawing xmlns:r="http://schemas.openxmlformats.org/officeDocument/2006/relationships" r:id="Rafb2f85d0b274b02"/>
</x:worksheet>
</file>